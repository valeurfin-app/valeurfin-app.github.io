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iwari087\Documents\Personal\Dashboard\Final Tracker\"/>
    </mc:Choice>
  </mc:AlternateContent>
  <xr:revisionPtr revIDLastSave="0" documentId="13_ncr:20001_{CD4A15FE-D929-496B-85DE-6F8C692384FB}" xr6:coauthVersionLast="47" xr6:coauthVersionMax="47" xr10:uidLastSave="{00000000-0000-0000-0000-000000000000}"/>
  <bookViews>
    <workbookView xWindow="-108" yWindow="-108" windowWidth="23256" windowHeight="14856" activeTab="12" xr2:uid="{00000000-000D-0000-FFFF-FFFF00000000}"/>
  </bookViews>
  <sheets>
    <sheet name="How_To_Use" sheetId="1" r:id="rId1"/>
    <sheet name="Assumptions_Config" sheetId="2" r:id="rId2"/>
    <sheet name="Investment_Input" sheetId="3" r:id="rId3"/>
    <sheet name="Debt_Tracker" sheetId="4" r:id="rId4"/>
    <sheet name="Income_Expenses" sheetId="5" r:id="rId5"/>
    <sheet name="Major_Expenses" sheetId="6" r:id="rId6"/>
    <sheet name="Goals_Tracker" sheetId="7" r:id="rId7"/>
    <sheet name="Insurance_Summary" sheetId="8" r:id="rId8"/>
    <sheet name="Helper_Calcs" sheetId="9" r:id="rId9"/>
    <sheet name="What_If_Builder" sheetId="10" r:id="rId10"/>
    <sheet name="Financial_Scorecard" sheetId="11" r:id="rId11"/>
    <sheet name="Advisor_Dashboard" sheetId="12" r:id="rId12"/>
    <sheet name="Client_Dashboard" sheetId="13" r:id="rId13"/>
  </sheets>
  <calcPr calcId="0"/>
  <fileRecoveryPr repairLoad="1"/>
</workbook>
</file>

<file path=xl/calcChain.xml><?xml version="1.0" encoding="utf-8"?>
<calcChain xmlns="http://schemas.openxmlformats.org/spreadsheetml/2006/main">
  <c r="C11" i="11" l="1"/>
  <c r="B37" i="9"/>
  <c r="B35" i="9"/>
  <c r="C6" i="3"/>
  <c r="J5" i="3"/>
  <c r="J12" i="12" s="1"/>
  <c r="C5" i="3"/>
  <c r="C4" i="3"/>
  <c r="C14" i="4" s="1"/>
  <c r="J14" i="13"/>
  <c r="D5" i="13"/>
  <c r="A20" i="12"/>
  <c r="C16" i="12"/>
  <c r="D12" i="12"/>
  <c r="A9" i="12"/>
  <c r="K3" i="12"/>
  <c r="H3" i="12"/>
  <c r="E3" i="12"/>
  <c r="B3" i="12"/>
  <c r="E11" i="11"/>
  <c r="E9" i="11"/>
  <c r="C9" i="11"/>
  <c r="E8" i="11"/>
  <c r="C8" i="11"/>
  <c r="E6" i="11"/>
  <c r="C6" i="11"/>
  <c r="D102" i="9"/>
  <c r="C102" i="9"/>
  <c r="B102" i="9"/>
  <c r="A102" i="9"/>
  <c r="D101" i="9"/>
  <c r="C101" i="9"/>
  <c r="B101" i="9"/>
  <c r="A101" i="9"/>
  <c r="D100" i="9"/>
  <c r="C100" i="9"/>
  <c r="B100" i="9"/>
  <c r="A100" i="9"/>
  <c r="D99" i="9"/>
  <c r="C99" i="9"/>
  <c r="B99" i="9"/>
  <c r="A99" i="9"/>
  <c r="D98" i="9"/>
  <c r="C98" i="9"/>
  <c r="B98" i="9"/>
  <c r="A98" i="9"/>
  <c r="B87" i="9"/>
  <c r="B86" i="9"/>
  <c r="B88" i="9" s="1"/>
  <c r="B89" i="9" s="1"/>
  <c r="B90" i="9" s="1"/>
  <c r="F77" i="9"/>
  <c r="F72" i="9"/>
  <c r="F65" i="9"/>
  <c r="B56" i="9"/>
  <c r="B55" i="9"/>
  <c r="B54" i="9"/>
  <c r="B53" i="9"/>
  <c r="B52" i="9"/>
  <c r="E47" i="9"/>
  <c r="C18" i="12" s="1"/>
  <c r="E46" i="9"/>
  <c r="C17" i="12" s="1"/>
  <c r="E45" i="9"/>
  <c r="B42" i="9"/>
  <c r="G11" i="13" s="1"/>
  <c r="B41" i="9"/>
  <c r="P14" i="13" s="1"/>
  <c r="B36" i="9"/>
  <c r="B29" i="9"/>
  <c r="K17" i="9"/>
  <c r="J17" i="9"/>
  <c r="H17" i="9"/>
  <c r="F17" i="9"/>
  <c r="E17" i="9"/>
  <c r="P17" i="9" s="1"/>
  <c r="C17" i="9"/>
  <c r="B17" i="9"/>
  <c r="A17" i="9"/>
  <c r="K16" i="9"/>
  <c r="J16" i="9"/>
  <c r="R16" i="9" s="1"/>
  <c r="H16" i="9"/>
  <c r="F16" i="9"/>
  <c r="E16" i="9"/>
  <c r="C16" i="9"/>
  <c r="B16" i="9"/>
  <c r="A16" i="9"/>
  <c r="P15" i="9"/>
  <c r="K15" i="9"/>
  <c r="J15" i="9"/>
  <c r="H15" i="9"/>
  <c r="F15" i="9"/>
  <c r="E15" i="9"/>
  <c r="C15" i="9"/>
  <c r="B15" i="9"/>
  <c r="M15" i="9" s="1"/>
  <c r="A15" i="9"/>
  <c r="K14" i="9"/>
  <c r="J14" i="9"/>
  <c r="H14" i="9"/>
  <c r="F14" i="9"/>
  <c r="M14" i="9" s="1"/>
  <c r="E14" i="9"/>
  <c r="P14" i="9" s="1"/>
  <c r="C14" i="9"/>
  <c r="B14" i="9"/>
  <c r="A14" i="9"/>
  <c r="R13" i="9"/>
  <c r="K13" i="9"/>
  <c r="J13" i="9"/>
  <c r="H13" i="9"/>
  <c r="F13" i="9"/>
  <c r="E13" i="9"/>
  <c r="C13" i="9"/>
  <c r="B13" i="9"/>
  <c r="A13" i="9"/>
  <c r="K12" i="9"/>
  <c r="J12" i="9"/>
  <c r="H12" i="9"/>
  <c r="F12" i="9"/>
  <c r="E12" i="9"/>
  <c r="P12" i="9" s="1"/>
  <c r="C12" i="9"/>
  <c r="B12" i="9"/>
  <c r="M12" i="9" s="1"/>
  <c r="A12" i="9"/>
  <c r="P11" i="9"/>
  <c r="K11" i="9"/>
  <c r="J11" i="9"/>
  <c r="H11" i="9"/>
  <c r="F11" i="9"/>
  <c r="M11" i="9" s="1"/>
  <c r="E11" i="9"/>
  <c r="C11" i="9"/>
  <c r="B11" i="9"/>
  <c r="A11" i="9"/>
  <c r="K10" i="9"/>
  <c r="J10" i="9"/>
  <c r="R10" i="9" s="1"/>
  <c r="I10" i="9"/>
  <c r="H10" i="9"/>
  <c r="F10" i="9"/>
  <c r="E10" i="9"/>
  <c r="C10" i="9"/>
  <c r="B10" i="9"/>
  <c r="A10" i="9"/>
  <c r="K9" i="9"/>
  <c r="J9" i="9"/>
  <c r="H9" i="9"/>
  <c r="F9" i="9"/>
  <c r="E9" i="9"/>
  <c r="C9" i="9"/>
  <c r="B9" i="9"/>
  <c r="A9" i="9"/>
  <c r="K8" i="9"/>
  <c r="J8" i="9"/>
  <c r="H8" i="9"/>
  <c r="F8" i="9"/>
  <c r="P8" i="9" s="1"/>
  <c r="E8" i="9"/>
  <c r="C8" i="9"/>
  <c r="B8" i="9"/>
  <c r="A8" i="9"/>
  <c r="K7" i="9"/>
  <c r="J7" i="9"/>
  <c r="H7" i="9"/>
  <c r="F7" i="9"/>
  <c r="E7" i="9"/>
  <c r="C7" i="9"/>
  <c r="B7" i="9"/>
  <c r="A7" i="9"/>
  <c r="K6" i="9"/>
  <c r="J6" i="9"/>
  <c r="H6" i="9"/>
  <c r="F6" i="9"/>
  <c r="E6" i="9"/>
  <c r="C6" i="9"/>
  <c r="B6" i="9"/>
  <c r="A6" i="9"/>
  <c r="B20" i="8"/>
  <c r="B19" i="8"/>
  <c r="B18" i="8"/>
  <c r="B17" i="8"/>
  <c r="B15" i="8"/>
  <c r="B14" i="8"/>
  <c r="B13" i="8"/>
  <c r="B12" i="8"/>
  <c r="J9" i="7"/>
  <c r="K9" i="7" s="1"/>
  <c r="I9" i="7"/>
  <c r="H9" i="7"/>
  <c r="G9" i="7"/>
  <c r="F9" i="7"/>
  <c r="H8" i="7"/>
  <c r="G8" i="7"/>
  <c r="J8" i="7" s="1"/>
  <c r="K8" i="7" s="1"/>
  <c r="F8" i="7"/>
  <c r="J7" i="7"/>
  <c r="K7" i="7" s="1"/>
  <c r="I7" i="7"/>
  <c r="H7" i="7"/>
  <c r="G7" i="7"/>
  <c r="F7" i="7"/>
  <c r="H6" i="7"/>
  <c r="G6" i="7"/>
  <c r="J6" i="7" s="1"/>
  <c r="K6" i="7" s="1"/>
  <c r="F6" i="7"/>
  <c r="J5" i="7"/>
  <c r="K5" i="7" s="1"/>
  <c r="I5" i="7"/>
  <c r="H5" i="7"/>
  <c r="G5" i="7"/>
  <c r="F5" i="7"/>
  <c r="J9" i="6"/>
  <c r="I9" i="6"/>
  <c r="H9" i="6"/>
  <c r="J8" i="6"/>
  <c r="I8" i="6"/>
  <c r="H8" i="6"/>
  <c r="J7" i="6"/>
  <c r="F69" i="9" s="1"/>
  <c r="I7" i="6"/>
  <c r="H7" i="6"/>
  <c r="J6" i="6"/>
  <c r="F79" i="9" s="1"/>
  <c r="I6" i="6"/>
  <c r="H6" i="6"/>
  <c r="J5" i="6"/>
  <c r="F74" i="9" s="1"/>
  <c r="I5" i="6"/>
  <c r="H5" i="6"/>
  <c r="B33" i="5"/>
  <c r="B31" i="5"/>
  <c r="B34" i="5" s="1"/>
  <c r="B30" i="5"/>
  <c r="B29" i="5"/>
  <c r="B28" i="5"/>
  <c r="B24" i="5"/>
  <c r="B11" i="5"/>
  <c r="C15" i="4"/>
  <c r="C13" i="4"/>
  <c r="C12" i="4"/>
  <c r="C11" i="4"/>
  <c r="J8" i="4"/>
  <c r="I8" i="4"/>
  <c r="H8" i="4"/>
  <c r="J7" i="4"/>
  <c r="I7" i="4"/>
  <c r="H7" i="4"/>
  <c r="J6" i="4"/>
  <c r="I6" i="4"/>
  <c r="H6" i="4"/>
  <c r="J5" i="4"/>
  <c r="I5" i="4"/>
  <c r="H5" i="4"/>
  <c r="X27" i="3"/>
  <c r="W27" i="3"/>
  <c r="U27" i="3"/>
  <c r="I17" i="9" s="1"/>
  <c r="S27" i="3"/>
  <c r="P27" i="3"/>
  <c r="M27" i="3"/>
  <c r="G17" i="9" s="1"/>
  <c r="G27" i="3"/>
  <c r="D17" i="9" s="1"/>
  <c r="F27" i="3"/>
  <c r="X26" i="3"/>
  <c r="W26" i="3"/>
  <c r="U26" i="3"/>
  <c r="I16" i="9" s="1"/>
  <c r="S26" i="3"/>
  <c r="P26" i="3"/>
  <c r="M26" i="3"/>
  <c r="G16" i="9" s="1"/>
  <c r="G26" i="3"/>
  <c r="D16" i="9" s="1"/>
  <c r="F26" i="3"/>
  <c r="X25" i="3"/>
  <c r="W25" i="3"/>
  <c r="U25" i="3"/>
  <c r="I15" i="9" s="1"/>
  <c r="S25" i="3"/>
  <c r="P25" i="3"/>
  <c r="M25" i="3"/>
  <c r="G15" i="9" s="1"/>
  <c r="G25" i="3"/>
  <c r="D15" i="9" s="1"/>
  <c r="F25" i="3"/>
  <c r="X24" i="3"/>
  <c r="W24" i="3"/>
  <c r="U24" i="3"/>
  <c r="I14" i="9" s="1"/>
  <c r="S24" i="3"/>
  <c r="P24" i="3"/>
  <c r="M24" i="3"/>
  <c r="G14" i="9" s="1"/>
  <c r="G24" i="3"/>
  <c r="D14" i="9" s="1"/>
  <c r="F24" i="3"/>
  <c r="X23" i="3"/>
  <c r="W23" i="3"/>
  <c r="U23" i="3"/>
  <c r="I13" i="9" s="1"/>
  <c r="S23" i="3"/>
  <c r="P23" i="3"/>
  <c r="M23" i="3"/>
  <c r="G13" i="9" s="1"/>
  <c r="G23" i="3"/>
  <c r="D13" i="9" s="1"/>
  <c r="F23" i="3"/>
  <c r="X22" i="3"/>
  <c r="W22" i="3"/>
  <c r="U22" i="3"/>
  <c r="I12" i="9" s="1"/>
  <c r="S22" i="3"/>
  <c r="P22" i="3"/>
  <c r="M22" i="3"/>
  <c r="G12" i="9" s="1"/>
  <c r="G22" i="3"/>
  <c r="D12" i="9" s="1"/>
  <c r="F22" i="3"/>
  <c r="X21" i="3"/>
  <c r="W21" i="3"/>
  <c r="U21" i="3"/>
  <c r="I11" i="9" s="1"/>
  <c r="S21" i="3"/>
  <c r="P21" i="3"/>
  <c r="M21" i="3"/>
  <c r="G11" i="9" s="1"/>
  <c r="G21" i="3"/>
  <c r="D11" i="9" s="1"/>
  <c r="F21" i="3"/>
  <c r="X13" i="3"/>
  <c r="W13" i="3"/>
  <c r="U13" i="3"/>
  <c r="S13" i="3"/>
  <c r="P13" i="3"/>
  <c r="M13" i="3"/>
  <c r="G10" i="9" s="1"/>
  <c r="G13" i="3"/>
  <c r="D10" i="9" s="1"/>
  <c r="F13" i="3"/>
  <c r="X12" i="3"/>
  <c r="W12" i="3"/>
  <c r="U12" i="3"/>
  <c r="I9" i="9" s="1"/>
  <c r="S12" i="3"/>
  <c r="P12" i="3"/>
  <c r="M12" i="3"/>
  <c r="G9" i="9" s="1"/>
  <c r="G12" i="3"/>
  <c r="D9" i="9" s="1"/>
  <c r="F12" i="3"/>
  <c r="X11" i="3"/>
  <c r="W11" i="3"/>
  <c r="U11" i="3"/>
  <c r="I8" i="9" s="1"/>
  <c r="S11" i="3"/>
  <c r="P11" i="3"/>
  <c r="M11" i="3"/>
  <c r="G8" i="9" s="1"/>
  <c r="G11" i="3"/>
  <c r="D8" i="9" s="1"/>
  <c r="F11" i="3"/>
  <c r="X10" i="3"/>
  <c r="W10" i="3"/>
  <c r="U10" i="3"/>
  <c r="I7" i="9" s="1"/>
  <c r="S10" i="3"/>
  <c r="P10" i="3"/>
  <c r="M10" i="3"/>
  <c r="G7" i="9" s="1"/>
  <c r="G10" i="3"/>
  <c r="D7" i="9" s="1"/>
  <c r="F10" i="3"/>
  <c r="X9" i="3"/>
  <c r="W9" i="3"/>
  <c r="U9" i="3"/>
  <c r="I6" i="9" s="1"/>
  <c r="S9" i="3"/>
  <c r="P9" i="3"/>
  <c r="M9" i="3"/>
  <c r="G6" i="9" s="1"/>
  <c r="G9" i="3"/>
  <c r="G5" i="3" s="1"/>
  <c r="F9" i="3"/>
  <c r="H26" i="2"/>
  <c r="G26" i="2"/>
  <c r="H25" i="2"/>
  <c r="G25" i="2"/>
  <c r="H24" i="2"/>
  <c r="G24" i="2"/>
  <c r="H23" i="2"/>
  <c r="G23" i="2"/>
  <c r="H22" i="2"/>
  <c r="G22" i="2"/>
  <c r="C10" i="11" l="1"/>
  <c r="E10" i="11" s="1"/>
  <c r="J4" i="3"/>
  <c r="B39" i="9" s="1"/>
  <c r="B40" i="9" s="1"/>
  <c r="N3" i="12" s="1"/>
  <c r="M17" i="9"/>
  <c r="G6" i="3"/>
  <c r="B38" i="9"/>
  <c r="D14" i="13" s="1"/>
  <c r="B21" i="9"/>
  <c r="B30" i="9" s="1"/>
  <c r="E61" i="9"/>
  <c r="D61" i="9"/>
  <c r="B32" i="5"/>
  <c r="B35" i="5" s="1"/>
  <c r="P10" i="9"/>
  <c r="G4" i="3"/>
  <c r="M8" i="9"/>
  <c r="P7" i="9"/>
  <c r="L17" i="9"/>
  <c r="P6" i="9"/>
  <c r="D6" i="9"/>
  <c r="L11" i="9"/>
  <c r="N11" i="9" s="1"/>
  <c r="O11" i="9" s="1"/>
  <c r="Q11" i="9" s="1"/>
  <c r="R11" i="9" s="1"/>
  <c r="S11" i="9" s="1"/>
  <c r="T11" i="9" s="1"/>
  <c r="M9" i="9"/>
  <c r="L13" i="9"/>
  <c r="L15" i="9"/>
  <c r="N15" i="9" s="1"/>
  <c r="O15" i="9" s="1"/>
  <c r="Q15" i="9" s="1"/>
  <c r="R15" i="9" s="1"/>
  <c r="S15" i="9" s="1"/>
  <c r="T15" i="9" s="1"/>
  <c r="L16" i="9"/>
  <c r="M16" i="9"/>
  <c r="L7" i="9"/>
  <c r="P16" i="9"/>
  <c r="M7" i="9"/>
  <c r="P9" i="9"/>
  <c r="P13" i="9"/>
  <c r="M13" i="9"/>
  <c r="L6" i="9"/>
  <c r="L8" i="9"/>
  <c r="M6" i="9"/>
  <c r="L10" i="9"/>
  <c r="M10" i="9"/>
  <c r="L12" i="9"/>
  <c r="N12" i="9" s="1"/>
  <c r="O12" i="9" s="1"/>
  <c r="Q12" i="9" s="1"/>
  <c r="R12" i="9" s="1"/>
  <c r="S12" i="9" s="1"/>
  <c r="T12" i="9" s="1"/>
  <c r="L14" i="9"/>
  <c r="N14" i="9" s="1"/>
  <c r="O14" i="9" s="1"/>
  <c r="L9" i="9"/>
  <c r="A11" i="13"/>
  <c r="A37" i="13"/>
  <c r="D9" i="12"/>
  <c r="A12" i="12"/>
  <c r="H17" i="12"/>
  <c r="G14" i="13"/>
  <c r="G12" i="12"/>
  <c r="F63" i="9"/>
  <c r="F75" i="9"/>
  <c r="F68" i="9"/>
  <c r="F80" i="9"/>
  <c r="F61" i="9"/>
  <c r="G61" i="9" s="1"/>
  <c r="F73" i="9"/>
  <c r="F70" i="9"/>
  <c r="I6" i="7"/>
  <c r="I8" i="7"/>
  <c r="B28" i="9"/>
  <c r="F66" i="9"/>
  <c r="F78" i="9"/>
  <c r="G6" i="12"/>
  <c r="C13" i="11"/>
  <c r="E13" i="11" s="1"/>
  <c r="F71" i="9"/>
  <c r="A14" i="13"/>
  <c r="F64" i="9"/>
  <c r="F76" i="9"/>
  <c r="F81" i="9"/>
  <c r="F62" i="9"/>
  <c r="F67" i="9"/>
  <c r="A8" i="13" l="1"/>
  <c r="A6" i="12"/>
  <c r="N16" i="9"/>
  <c r="O16" i="9" s="1"/>
  <c r="S16" i="9" s="1"/>
  <c r="T16" i="9" s="1"/>
  <c r="C61" i="9"/>
  <c r="N9" i="9"/>
  <c r="O9" i="9" s="1"/>
  <c r="C15" i="11"/>
  <c r="E15" i="11" s="1"/>
  <c r="N17" i="9"/>
  <c r="O17" i="9" s="1"/>
  <c r="Q17" i="9" s="1"/>
  <c r="R17" i="9" s="1"/>
  <c r="S17" i="9" s="1"/>
  <c r="T17" i="9" s="1"/>
  <c r="C7" i="11"/>
  <c r="E7" i="11" s="1"/>
  <c r="M6" i="12"/>
  <c r="N8" i="9"/>
  <c r="O8" i="9" s="1"/>
  <c r="N13" i="9"/>
  <c r="O13" i="9" s="1"/>
  <c r="Q13" i="9" s="1"/>
  <c r="B25" i="9"/>
  <c r="C14" i="11"/>
  <c r="E14" i="11" s="1"/>
  <c r="M12" i="12"/>
  <c r="N10" i="9"/>
  <c r="O10" i="9" s="1"/>
  <c r="Q10" i="9" s="1"/>
  <c r="N7" i="9"/>
  <c r="O7" i="9" s="1"/>
  <c r="B47" i="9"/>
  <c r="D47" i="9" s="1"/>
  <c r="B45" i="9"/>
  <c r="D45" i="9" s="1"/>
  <c r="B46" i="9"/>
  <c r="D46" i="9" s="1"/>
  <c r="Q9" i="9"/>
  <c r="R9" i="9" s="1"/>
  <c r="S9" i="9" s="1"/>
  <c r="T9" i="9" s="1"/>
  <c r="Q14" i="9"/>
  <c r="R14" i="9" s="1"/>
  <c r="S14" i="9" s="1"/>
  <c r="T14" i="9" s="1"/>
  <c r="Q8" i="9"/>
  <c r="R8" i="9" s="1"/>
  <c r="S8" i="9" s="1"/>
  <c r="T8" i="9" s="1"/>
  <c r="N6" i="9"/>
  <c r="O6" i="9" s="1"/>
  <c r="S10" i="9" l="1"/>
  <c r="T10" i="9" s="1"/>
  <c r="Q16" i="9"/>
  <c r="S13" i="9"/>
  <c r="T13" i="9" s="1"/>
  <c r="E102" i="9"/>
  <c r="F102" i="9" s="1"/>
  <c r="E100" i="9"/>
  <c r="F100" i="9" s="1"/>
  <c r="E98" i="9"/>
  <c r="F98" i="9" s="1"/>
  <c r="E99" i="9"/>
  <c r="F99" i="9" s="1"/>
  <c r="B16" i="12"/>
  <c r="E101" i="9"/>
  <c r="F101" i="9" s="1"/>
  <c r="F45" i="9"/>
  <c r="F46" i="9"/>
  <c r="B17" i="12"/>
  <c r="Q7" i="9"/>
  <c r="R7" i="9" s="1"/>
  <c r="S7" i="9" s="1"/>
  <c r="T7" i="9" s="1"/>
  <c r="F47" i="9"/>
  <c r="B18" i="12"/>
  <c r="B22" i="9"/>
  <c r="Q6" i="9"/>
  <c r="R6" i="9" s="1"/>
  <c r="G46" i="9" l="1"/>
  <c r="E17" i="12" s="1"/>
  <c r="D17" i="12"/>
  <c r="G47" i="9"/>
  <c r="E18" i="12" s="1"/>
  <c r="D18" i="12"/>
  <c r="D16" i="12"/>
  <c r="G45" i="9"/>
  <c r="E16" i="12" s="1"/>
  <c r="S6" i="9"/>
  <c r="B24" i="9"/>
  <c r="C74" i="9"/>
  <c r="C64" i="9"/>
  <c r="B26" i="9"/>
  <c r="C73" i="9"/>
  <c r="C63" i="9"/>
  <c r="C66" i="9"/>
  <c r="C62" i="9"/>
  <c r="C77" i="9"/>
  <c r="C72" i="9"/>
  <c r="C65" i="9"/>
  <c r="C81" i="9"/>
  <c r="C71" i="9"/>
  <c r="C75" i="9"/>
  <c r="C80" i="9"/>
  <c r="C70" i="9"/>
  <c r="C79" i="9"/>
  <c r="C69" i="9"/>
  <c r="C78" i="9"/>
  <c r="C68" i="9"/>
  <c r="C67" i="9"/>
  <c r="C76" i="9"/>
  <c r="H18" i="12" l="1"/>
  <c r="C54" i="9"/>
  <c r="C53" i="9"/>
  <c r="C55" i="9"/>
  <c r="C52" i="9"/>
  <c r="C56" i="9"/>
  <c r="C47" i="9"/>
  <c r="C46" i="9"/>
  <c r="C45" i="9"/>
  <c r="B23" i="9"/>
  <c r="T6" i="9"/>
  <c r="G8" i="13" l="1"/>
  <c r="D66" i="9"/>
  <c r="D77" i="9"/>
  <c r="D6" i="12"/>
  <c r="D80" i="9"/>
  <c r="D62" i="9"/>
  <c r="B27" i="9"/>
  <c r="B33" i="9" s="1"/>
  <c r="B34" i="9" s="1"/>
  <c r="D76" i="9"/>
  <c r="D79" i="9"/>
  <c r="D64" i="9"/>
  <c r="B91" i="9"/>
  <c r="D68" i="9"/>
  <c r="D73" i="9"/>
  <c r="C9" i="10"/>
  <c r="D9" i="10" s="1"/>
  <c r="E9" i="10" s="1"/>
  <c r="F9" i="10" s="1"/>
  <c r="C10" i="10"/>
  <c r="D69" i="9"/>
  <c r="D71" i="9"/>
  <c r="D65" i="9"/>
  <c r="D72" i="9"/>
  <c r="D74" i="9"/>
  <c r="C11" i="10"/>
  <c r="D11" i="10" s="1"/>
  <c r="E11" i="10" s="1"/>
  <c r="F11" i="10" s="1"/>
  <c r="D78" i="9"/>
  <c r="D75" i="9"/>
  <c r="C6" i="10"/>
  <c r="D6" i="10" s="1"/>
  <c r="E6" i="10" s="1"/>
  <c r="F6" i="10" s="1"/>
  <c r="C7" i="10"/>
  <c r="D81" i="9"/>
  <c r="C8" i="10"/>
  <c r="D8" i="10" s="1"/>
  <c r="E8" i="10" s="1"/>
  <c r="F8" i="10" s="1"/>
  <c r="D67" i="9"/>
  <c r="D63" i="9"/>
  <c r="B31" i="9"/>
  <c r="B32" i="9" s="1"/>
  <c r="D70" i="9"/>
  <c r="F55" i="9"/>
  <c r="D55" i="9"/>
  <c r="G55" i="9" s="1"/>
  <c r="F56" i="9"/>
  <c r="D56" i="9"/>
  <c r="F52" i="9"/>
  <c r="D52" i="9"/>
  <c r="G52" i="9" s="1"/>
  <c r="F53" i="9"/>
  <c r="D53" i="9"/>
  <c r="F54" i="9"/>
  <c r="D54" i="9"/>
  <c r="G54" i="9" s="1"/>
  <c r="E56" i="9" l="1"/>
  <c r="B26" i="12"/>
  <c r="B43" i="13"/>
  <c r="B93" i="9"/>
  <c r="B92" i="9"/>
  <c r="E64" i="9"/>
  <c r="G64" i="9"/>
  <c r="E55" i="9"/>
  <c r="H55" i="9"/>
  <c r="D25" i="12" s="1"/>
  <c r="B42" i="13"/>
  <c r="B25" i="12"/>
  <c r="E79" i="9"/>
  <c r="G79" i="9"/>
  <c r="E78" i="9"/>
  <c r="G78" i="9"/>
  <c r="E54" i="9"/>
  <c r="H54" i="9" s="1"/>
  <c r="D24" i="12" s="1"/>
  <c r="B41" i="13"/>
  <c r="B24" i="12"/>
  <c r="E74" i="9"/>
  <c r="G74" i="9"/>
  <c r="E76" i="9"/>
  <c r="G76" i="9"/>
  <c r="E70" i="9"/>
  <c r="G70" i="9"/>
  <c r="E72" i="9"/>
  <c r="G72" i="9"/>
  <c r="E75" i="9"/>
  <c r="G75" i="9"/>
  <c r="G53" i="9"/>
  <c r="E53" i="9"/>
  <c r="H53" i="9" s="1"/>
  <c r="D23" i="12" s="1"/>
  <c r="B23" i="12"/>
  <c r="B40" i="13"/>
  <c r="H16" i="12"/>
  <c r="P6" i="12"/>
  <c r="E65" i="9"/>
  <c r="G65" i="9"/>
  <c r="E62" i="9"/>
  <c r="G62" i="9"/>
  <c r="E68" i="9"/>
  <c r="G68" i="9"/>
  <c r="E63" i="9"/>
  <c r="G63" i="9"/>
  <c r="E80" i="9"/>
  <c r="G80" i="9"/>
  <c r="E67" i="9"/>
  <c r="G67" i="9"/>
  <c r="E69" i="9"/>
  <c r="G69" i="9"/>
  <c r="E52" i="9"/>
  <c r="B39" i="13"/>
  <c r="B22" i="12"/>
  <c r="D10" i="10"/>
  <c r="E10" i="10" s="1"/>
  <c r="F10" i="10" s="1"/>
  <c r="E77" i="9"/>
  <c r="G77" i="9"/>
  <c r="E71" i="9"/>
  <c r="G71" i="9"/>
  <c r="E81" i="9"/>
  <c r="G81" i="9"/>
  <c r="E66" i="9"/>
  <c r="G66" i="9"/>
  <c r="G56" i="9"/>
  <c r="D7" i="10"/>
  <c r="E7" i="10" s="1"/>
  <c r="F7" i="10" s="1"/>
  <c r="E73" i="9"/>
  <c r="G73" i="9"/>
  <c r="C42" i="13" l="1"/>
  <c r="C25" i="12"/>
  <c r="C23" i="12"/>
  <c r="C40" i="13"/>
  <c r="C39" i="13"/>
  <c r="C22" i="12"/>
  <c r="C24" i="12"/>
  <c r="C41" i="13"/>
  <c r="J6" i="12"/>
  <c r="M8" i="13"/>
  <c r="C12" i="11"/>
  <c r="H52" i="9"/>
  <c r="D22" i="12" s="1"/>
  <c r="C43" i="13"/>
  <c r="C26" i="12"/>
  <c r="H56" i="9"/>
  <c r="D26" i="12" s="1"/>
  <c r="E12" i="11" l="1"/>
  <c r="A17" i="11"/>
  <c r="D18" i="11" l="1"/>
  <c r="P12" i="12"/>
  <c r="M14" i="13"/>
</calcChain>
</file>

<file path=xl/sharedStrings.xml><?xml version="1.0" encoding="utf-8"?>
<sst xmlns="http://schemas.openxmlformats.org/spreadsheetml/2006/main" count="839" uniqueCount="588">
  <si>
    <t>WEALTH ADVISORY v2.0 — COMPLETE USER GUIDE</t>
  </si>
  <si>
    <t>25 Features | Siddharth Tiwari | Read fully before using</t>
  </si>
  <si>
    <t>1. WORKBOOK OVERVIEW — 13 SHEETS</t>
  </si>
  <si>
    <t>Sheet</t>
  </si>
  <si>
    <t>Purpose</t>
  </si>
  <si>
    <t>Key Features</t>
  </si>
  <si>
    <t>How_To_Use</t>
  </si>
  <si>
    <t>Complete guide</t>
  </si>
  <si>
    <t>Step-by-step instructions, column reference</t>
  </si>
  <si>
    <t>Assumptions_Config</t>
  </si>
  <si>
    <t>Global settings</t>
  </si>
  <si>
    <t>Inflation, tax, horizon, types, scenarios, risk scores</t>
  </si>
  <si>
    <t>Investment_Input</t>
  </si>
  <si>
    <t>Investment entry</t>
  </si>
  <si>
    <t>One row per investment, auto-lookups, validations</t>
  </si>
  <si>
    <t>Debt_Tracker</t>
  </si>
  <si>
    <t>Loan tracking</t>
  </si>
  <si>
    <t>Home/car/personal loans, EMIs, prepayment analysis</t>
  </si>
  <si>
    <t>Income_Expenses</t>
  </si>
  <si>
    <t>Cash flow</t>
  </si>
  <si>
    <t>Income sources, expense categories, savings rate</t>
  </si>
  <si>
    <t>Major_Expenses</t>
  </si>
  <si>
    <t>Future expenses</t>
  </si>
  <si>
    <t>Goal-linked, inflation-adjusted future costs</t>
  </si>
  <si>
    <t>Goals_Tracker</t>
  </si>
  <si>
    <t>Goal planning</t>
  </si>
  <si>
    <t>Link investments to goals, shortfall analysis</t>
  </si>
  <si>
    <t>Insurance_Summary</t>
  </si>
  <si>
    <t>Insurance audit</t>
  </si>
  <si>
    <t>Life/health/vehicle cover, gap analysis</t>
  </si>
  <si>
    <t>Helper_Calcs</t>
  </si>
  <si>
    <t>Calculations</t>
  </si>
  <si>
    <t>Projections, aggregation, scenarios, scores</t>
  </si>
  <si>
    <t>Advisor_Dashboard</t>
  </si>
  <si>
    <t>Advisor view</t>
  </si>
  <si>
    <t>Full analytics, KPIs, charts, allocation, scenarios</t>
  </si>
  <si>
    <t>Client_Dashboard</t>
  </si>
  <si>
    <t>Client view</t>
  </si>
  <si>
    <t>Executive summary, polished, print-ready</t>
  </si>
  <si>
    <t>Financial_Scorecard</t>
  </si>
  <si>
    <t>Health score</t>
  </si>
  <si>
    <t>10-dimension scoring, action items</t>
  </si>
  <si>
    <t>What_If_Builder</t>
  </si>
  <si>
    <t>Scenario builder</t>
  </si>
  <si>
    <t>Interactive what-if comparisons</t>
  </si>
  <si>
    <t>2. CELL CONVENTIONS</t>
  </si>
  <si>
    <t>🟡 GOLD CELLS</t>
  </si>
  <si>
    <t>Editable input — type freely</t>
  </si>
  <si>
    <t>🔵 BLUE-GREY CELLS</t>
  </si>
  <si>
    <t>Auto-calculated formula — don't edit</t>
  </si>
  <si>
    <t>⬜ WHITE/GREY</t>
  </si>
  <si>
    <t>Structural/locked — headers, labels</t>
  </si>
  <si>
    <t>3. STEP-BY-STEP WORKFLOW</t>
  </si>
  <si>
    <t>STEP 1: Assumptions_Config</t>
  </si>
  <si>
    <t>Set inflation (D5), tax (D6), display unit (D7), horizon (D8), reinvest rate (D9). Review type mappings &amp; scenarios.</t>
  </si>
  <si>
    <t>STEP 2: Income_Expenses</t>
  </si>
  <si>
    <t>Enter all income sources and monthly expenses. This calculates your investable surplus.</t>
  </si>
  <si>
    <t>STEP 3: Debt_Tracker</t>
  </si>
  <si>
    <t>Enter all loans. TRUE net worth = Assets minus Liabilities.</t>
  </si>
  <si>
    <t>STEP 4: Investment_Input</t>
  </si>
  <si>
    <t>One row per investment. Set type, current value, monthly contribution, return, tenure, tax flag.</t>
  </si>
  <si>
    <t>STEP 5: Insurance_Summary</t>
  </si>
  <si>
    <t>Enter life, health, vehicle insurance. Model checks if coverage is adequate.</t>
  </si>
  <si>
    <t>STEP 6: Goals_Tracker</t>
  </si>
  <si>
    <t>Define goals (retirement, education, house). Link investments. See funding status.</t>
  </si>
  <si>
    <t>STEP 7: Major_Expenses</t>
  </si>
  <si>
    <t>Enter future expenses. These reduce projected wealth in the relevant year.</t>
  </si>
  <si>
    <t>STEP 8: What_If_Builder</t>
  </si>
  <si>
    <t>Test scenarios like increasing SIP or adding lump sums.</t>
  </si>
  <si>
    <t>STEP 9: View Dashboards</t>
  </si>
  <si>
    <t>Advisor_Dashboard for detailed analysis. Client_Dashboard for presentations.</t>
  </si>
  <si>
    <t>STEP 10: Financial_Scorecard</t>
  </si>
  <si>
    <t>Review 10-dimension health score and action items.</t>
  </si>
  <si>
    <t>4. ALL 25 FEATURES</t>
  </si>
  <si>
    <t>1. Multi-investment tracking (unlimited rows per type)</t>
  </si>
  <si>
    <t>2. Inflation-adjusted projections (nominal + real)</t>
  </si>
  <si>
    <t>3. Tax-adjusted outputs (per-row tax flag)</t>
  </si>
  <si>
    <t>4. 5 Scenario analysis (optimistic to conservative)</t>
  </si>
  <si>
    <t>5. SIP step-up compounding</t>
  </si>
  <si>
    <t>6. Post-maturity reinvestment logic</t>
  </si>
  <si>
    <t>7. Major future expenses with inflation</t>
  </si>
  <si>
    <t>8. Year-by-year projection grid + charts</t>
  </si>
  <si>
    <t>9. Equity vs Debt allocation analysis</t>
  </si>
  <si>
    <t>10. Display unit toggle (₹/Lakhs/Crores/Millions)</t>
  </si>
  <si>
    <t>11. Goal-based tracking with shortfall analysis</t>
  </si>
  <si>
    <t>12. Cash flow / liquidity timeline</t>
  </si>
  <si>
    <t>13. Risk scoring per investment type</t>
  </si>
  <si>
    <t>14. Emergency fund adequacy check</t>
  </si>
  <si>
    <t>15. Insurance gap analysis (life + health)</t>
  </si>
  <si>
    <t>16. Asset rebalancing recommendations</t>
  </si>
  <si>
    <t>17. Debt/liability tracker with TRUE net worth</t>
  </si>
  <si>
    <t>18. Income &amp; expense tracking with savings rate</t>
  </si>
  <si>
    <t>19. Stress testing / drawdown analysis</t>
  </si>
  <si>
    <t>20. Retirement corpus adequacy calculator</t>
  </si>
  <si>
    <t>21. What-If scenario builder</t>
  </si>
  <si>
    <t>22. Financial health scorecard (10 dimensions)</t>
  </si>
  <si>
    <t>23. Wealth waterfall decomposition</t>
  </si>
  <si>
    <t>24. Portfolio concentration risk alerts</t>
  </si>
  <si>
    <t>25. Action item / recommendation tracker</t>
  </si>
  <si>
    <t>ASSUMPTIONS &amp; CONFIGURATION</t>
  </si>
  <si>
    <t>Edit GOLD cells | Blue-grey = auto | Drives all calculations</t>
  </si>
  <si>
    <t>GLOBAL ASSUMPTIONS</t>
  </si>
  <si>
    <t>Inflation Rate (%)</t>
  </si>
  <si>
    <t>← Annual CPI inflation</t>
  </si>
  <si>
    <t>Effective Tax Rate (%)</t>
  </si>
  <si>
    <t>← Tax on investment gains</t>
  </si>
  <si>
    <t>Display Unit</t>
  </si>
  <si>
    <t>Lakhs</t>
  </si>
  <si>
    <t>← ₹/Lakhs/Crores/Millions</t>
  </si>
  <si>
    <t>Forecast Horizon (Years)</t>
  </si>
  <si>
    <t>← 5/10/15/20/25/30</t>
  </si>
  <si>
    <t>Default Reinvest Rate (%)</t>
  </si>
  <si>
    <t>← Post-maturity rate</t>
  </si>
  <si>
    <t>Forecast Start Year</t>
  </si>
  <si>
    <t>← Current year</t>
  </si>
  <si>
    <t>Risk-Free Rate (%)</t>
  </si>
  <si>
    <t>← FD/Govt bond rate</t>
  </si>
  <si>
    <t>Monthly Expenses (₹)</t>
  </si>
  <si>
    <t>← For emergency fund calc</t>
  </si>
  <si>
    <t>Emergency Fund Months</t>
  </si>
  <si>
    <t>← Target months of expenses</t>
  </si>
  <si>
    <t>Retirement Age</t>
  </si>
  <si>
    <t>← Planned retirement age</t>
  </si>
  <si>
    <t>Current Age</t>
  </si>
  <si>
    <t>← Client's current age</t>
  </si>
  <si>
    <t>Life Expectancy</t>
  </si>
  <si>
    <t>← For retirement corpus calc</t>
  </si>
  <si>
    <t>Annual Income (₹)</t>
  </si>
  <si>
    <t>← Gross annual income</t>
  </si>
  <si>
    <t>Client Name</t>
  </si>
  <si>
    <t>[Enter Client Name]</t>
  </si>
  <si>
    <t>SCENARIO ASSUMPTIONS</t>
  </si>
  <si>
    <t>Scenario</t>
  </si>
  <si>
    <t>Multiplier</t>
  </si>
  <si>
    <t>Inf Override</t>
  </si>
  <si>
    <t>Tax Override</t>
  </si>
  <si>
    <t>Eff Inf</t>
  </si>
  <si>
    <t>Eff Tax</t>
  </si>
  <si>
    <t>Description</t>
  </si>
  <si>
    <t>Optimistic</t>
  </si>
  <si>
    <t>Best-case</t>
  </si>
  <si>
    <t>Mod. Optimistic</t>
  </si>
  <si>
    <t>Above-avg</t>
  </si>
  <si>
    <t>Base Case</t>
  </si>
  <si>
    <t>Expected</t>
  </si>
  <si>
    <t>Mod. Conservative</t>
  </si>
  <si>
    <t>Below-avg</t>
  </si>
  <si>
    <t>Conservative</t>
  </si>
  <si>
    <t>Worst-case</t>
  </si>
  <si>
    <t>INVESTMENT TYPE MASTER (with Risk Scores)</t>
  </si>
  <si>
    <t>Type</t>
  </si>
  <si>
    <t>Asset Class</t>
  </si>
  <si>
    <t>Bucket</t>
  </si>
  <si>
    <t>Return %</t>
  </si>
  <si>
    <t>Compounding</t>
  </si>
  <si>
    <t>Risk(1-10)</t>
  </si>
  <si>
    <t>Volatility</t>
  </si>
  <si>
    <t>SIP</t>
  </si>
  <si>
    <t>Equity</t>
  </si>
  <si>
    <t>Monthly</t>
  </si>
  <si>
    <t>High</t>
  </si>
  <si>
    <t>Stocks</t>
  </si>
  <si>
    <t>Annually</t>
  </si>
  <si>
    <t>FD</t>
  </si>
  <si>
    <t>Debt</t>
  </si>
  <si>
    <t>Quarterly</t>
  </si>
  <si>
    <t>Low</t>
  </si>
  <si>
    <t>RD</t>
  </si>
  <si>
    <t>PF</t>
  </si>
  <si>
    <t>Retirement</t>
  </si>
  <si>
    <t>Very Low</t>
  </si>
  <si>
    <t>PPF</t>
  </si>
  <si>
    <t>NPS</t>
  </si>
  <si>
    <t>Medium</t>
  </si>
  <si>
    <t>Savings Account</t>
  </si>
  <si>
    <t>Cash</t>
  </si>
  <si>
    <t>Gold</t>
  </si>
  <si>
    <t>Real Asset</t>
  </si>
  <si>
    <t>Other</t>
  </si>
  <si>
    <t>Silver</t>
  </si>
  <si>
    <t>Land</t>
  </si>
  <si>
    <t>Med-High</t>
  </si>
  <si>
    <t>Crypto</t>
  </si>
  <si>
    <t>Alternative</t>
  </si>
  <si>
    <t>Very High</t>
  </si>
  <si>
    <t>Others</t>
  </si>
  <si>
    <t>STRESS TEST SCENARIOS</t>
  </si>
  <si>
    <t>Event</t>
  </si>
  <si>
    <t>Equity Impact</t>
  </si>
  <si>
    <t>Debt Impact</t>
  </si>
  <si>
    <t>Gold Impact</t>
  </si>
  <si>
    <t>2008 Crisis</t>
  </si>
  <si>
    <t>Global financial crisis</t>
  </si>
  <si>
    <t>COVID 2020</t>
  </si>
  <si>
    <t>Pandemic crash</t>
  </si>
  <si>
    <t>2013 Taper</t>
  </si>
  <si>
    <t>Fed taper tantrum</t>
  </si>
  <si>
    <t>Inflation Spike</t>
  </si>
  <si>
    <t>High inflation period</t>
  </si>
  <si>
    <t>Custom</t>
  </si>
  <si>
    <t>User-defined stress</t>
  </si>
  <si>
    <t>TARGET ALLOCATION (for Rebalancing)</t>
  </si>
  <si>
    <t>Target %</t>
  </si>
  <si>
    <t>Notes</t>
  </si>
  <si>
    <t>Editable</t>
  </si>
  <si>
    <t>MODEL DRIVERS — scenario and advisory assumptions</t>
  </si>
  <si>
    <t>Goal Growth Rate (%)</t>
  </si>
  <si>
    <t>← Used in goal funding projections</t>
  </si>
  <si>
    <t>What-If Return Rate (%)</t>
  </si>
  <si>
    <t>← Used in scenario builder and recovery math</t>
  </si>
  <si>
    <t>Safe Withdrawal Rate (%)</t>
  </si>
  <si>
    <t>← Used in retirement corpus adequacy</t>
  </si>
  <si>
    <t>Early Retirement Impact (%)</t>
  </si>
  <si>
    <t>← Applied to corpus in retire-early scenario</t>
  </si>
  <si>
    <t>Higher Inflation Impact (%)</t>
  </si>
  <si>
    <t>← Applied when inflation assumption worsens</t>
  </si>
  <si>
    <t>Step-Up Improvement Impact (%)</t>
  </si>
  <si>
    <t>← Applied when SIP step-up improves</t>
  </si>
  <si>
    <t>INVESTMENT INPUT — LINE ITEM ENTRY</t>
  </si>
  <si>
    <t>One row per investment | Gold=edit | Blue-grey=auto | Tab to add rows</t>
  </si>
  <si>
    <t>PORTFOLIO SUMMARY</t>
  </si>
  <si>
    <t>Total Current Value</t>
  </si>
  <si>
    <t>Monthly→Equity</t>
  </si>
  <si>
    <t>Wtd Risk Score</t>
  </si>
  <si>
    <t>Total Monthly SIP</t>
  </si>
  <si>
    <t>Monthly→Debt</t>
  </si>
  <si>
    <t>Max Concentration%</t>
  </si>
  <si>
    <t>Active Investments</t>
  </si>
  <si>
    <t>Monthly→Other</t>
  </si>
  <si>
    <t>ID</t>
  </si>
  <si>
    <t>Active?</t>
  </si>
  <si>
    <t>Label</t>
  </si>
  <si>
    <t>Member</t>
  </si>
  <si>
    <t>One-Time/Rec</t>
  </si>
  <si>
    <t>Current Value</t>
  </si>
  <si>
    <t>Override?</t>
  </si>
  <si>
    <t>Eff Return</t>
  </si>
  <si>
    <t>Step-Up %</t>
  </si>
  <si>
    <t>Periods/Yr</t>
  </si>
  <si>
    <t>Tenure</t>
  </si>
  <si>
    <t>Unit</t>
  </si>
  <si>
    <t>Tenure(Yrs)</t>
  </si>
  <si>
    <t>Rem Tenure</t>
  </si>
  <si>
    <t>Eff Rem</t>
  </si>
  <si>
    <t>Reinv Ovrd</t>
  </si>
  <si>
    <t>Eff Reinv</t>
  </si>
  <si>
    <t>Risk Score</t>
  </si>
  <si>
    <t>Start Dt</t>
  </si>
  <si>
    <t>Mat Dt</t>
  </si>
  <si>
    <t>Tax?</t>
  </si>
  <si>
    <t>Yes</t>
  </si>
  <si>
    <t>Axis Bluechip SIP</t>
  </si>
  <si>
    <t>Self</t>
  </si>
  <si>
    <t>Recurring</t>
  </si>
  <si>
    <t>No</t>
  </si>
  <si>
    <t>Years</t>
  </si>
  <si>
    <t>Long-term</t>
  </si>
  <si>
    <t>HDFC Mid-Cap SIP</t>
  </si>
  <si>
    <t>Mid-cap</t>
  </si>
  <si>
    <t>SBI FD #1</t>
  </si>
  <si>
    <t>One-Time</t>
  </si>
  <si>
    <t>Tax saver</t>
  </si>
  <si>
    <t>Post Office RD</t>
  </si>
  <si>
    <t>Monthly save</t>
  </si>
  <si>
    <t>PPF Account</t>
  </si>
  <si>
    <t>Tax-free</t>
  </si>
  <si>
    <t>Sovereign Gold Bond</t>
  </si>
  <si>
    <t>Spouse</t>
  </si>
  <si>
    <t>SGB</t>
  </si>
  <si>
    <t>Direct Equity</t>
  </si>
  <si>
    <t>LT equity</t>
  </si>
  <si>
    <t>NPS Tier-1</t>
  </si>
  <si>
    <t>HDFC Savings</t>
  </si>
  <si>
    <t>Emergency</t>
  </si>
  <si>
    <t>Plot Noida</t>
  </si>
  <si>
    <t>Real estate</t>
  </si>
  <si>
    <t>ELSS Tax Saver SIP</t>
  </si>
  <si>
    <t>80C benefit</t>
  </si>
  <si>
    <t>Bitcoin + ETH</t>
  </si>
  <si>
    <t>High risk</t>
  </si>
  <si>
    <t>DEBT &amp; LIABILITY TRACKER</t>
  </si>
  <si>
    <t>TRUE Net Worth = Assets − Liabilities | Enter all loans below</t>
  </si>
  <si>
    <t>Loan Type</t>
  </si>
  <si>
    <t>Lender</t>
  </si>
  <si>
    <t>Outstanding ₹</t>
  </si>
  <si>
    <t>EMI ₹</t>
  </si>
  <si>
    <t>Interest %</t>
  </si>
  <si>
    <t>Remaining Months</t>
  </si>
  <si>
    <t>Total Remaining</t>
  </si>
  <si>
    <t>Interest Cost</t>
  </si>
  <si>
    <t>Priority</t>
  </si>
  <si>
    <t>Home Loan</t>
  </si>
  <si>
    <t>SBI</t>
  </si>
  <si>
    <t>Car Loan</t>
  </si>
  <si>
    <t>HDFC</t>
  </si>
  <si>
    <t>Personal Loan</t>
  </si>
  <si>
    <t>Bajaj</t>
  </si>
  <si>
    <t>Credit Card</t>
  </si>
  <si>
    <t>ICICI</t>
  </si>
  <si>
    <t>DEBT SUMMARY</t>
  </si>
  <si>
    <t>Total Outstanding</t>
  </si>
  <si>
    <t>Total Monthly EMI</t>
  </si>
  <si>
    <t>Total Interest Cost</t>
  </si>
  <si>
    <t>Debt-to-Asset Ratio</t>
  </si>
  <si>
    <t>Debt-to-Income Ratio</t>
  </si>
  <si>
    <t>INCOME &amp; EXPENSE TRACKER</t>
  </si>
  <si>
    <t>Track cash flow | Calculates savings rate &amp; investable surplus</t>
  </si>
  <si>
    <t>MONTHLY INCOME</t>
  </si>
  <si>
    <t>Source</t>
  </si>
  <si>
    <t>Amount (₹/month)</t>
  </si>
  <si>
    <t>Salary</t>
  </si>
  <si>
    <t>Active</t>
  </si>
  <si>
    <t>Post-tax take-home</t>
  </si>
  <si>
    <t>Rental Income</t>
  </si>
  <si>
    <t>Passive</t>
  </si>
  <si>
    <t>Property rental</t>
  </si>
  <si>
    <t>Freelance/Side Income</t>
  </si>
  <si>
    <t>Variable</t>
  </si>
  <si>
    <t>Consulting</t>
  </si>
  <si>
    <t>Dividend/Interest</t>
  </si>
  <si>
    <t>Portfolio income</t>
  </si>
  <si>
    <t>TOTAL MONTHLY INCOME</t>
  </si>
  <si>
    <t>MONTHLY EXPENSES</t>
  </si>
  <si>
    <t>Category</t>
  </si>
  <si>
    <t>Essential?</t>
  </si>
  <si>
    <t>Rent/Home EMI</t>
  </si>
  <si>
    <t>Housing</t>
  </si>
  <si>
    <t>Groceries &amp; Food</t>
  </si>
  <si>
    <t>Monthly groceries</t>
  </si>
  <si>
    <t>Utilities</t>
  </si>
  <si>
    <t>Electric, water, gas, internet</t>
  </si>
  <si>
    <t>Insurance Premiums</t>
  </si>
  <si>
    <t>Life + health + vehicle</t>
  </si>
  <si>
    <t>Children Education</t>
  </si>
  <si>
    <t>School fees</t>
  </si>
  <si>
    <t>Transport/Fuel</t>
  </si>
  <si>
    <t>Semi</t>
  </si>
  <si>
    <t>Car fuel, maintenance</t>
  </si>
  <si>
    <t>Lifestyle/Entertainment</t>
  </si>
  <si>
    <t>Dining, shopping, OTT</t>
  </si>
  <si>
    <t>Miscellaneous</t>
  </si>
  <si>
    <t>Buffer expenses</t>
  </si>
  <si>
    <t>TOTAL MONTHLY EXPENSES</t>
  </si>
  <si>
    <t>CASH FLOW SUMMARY</t>
  </si>
  <si>
    <t>Total Income</t>
  </si>
  <si>
    <t>Total Expenses</t>
  </si>
  <si>
    <t>Total EMIs (Loans)</t>
  </si>
  <si>
    <t>Current SIPs/Investments</t>
  </si>
  <si>
    <t>NET SURPLUS / DEFICIT</t>
  </si>
  <si>
    <t>Savings Rate %</t>
  </si>
  <si>
    <t>Investment Rate %</t>
  </si>
  <si>
    <t>Uninvested Surplus</t>
  </si>
  <si>
    <t>MAJOR FUTURE EXPENSES</t>
  </si>
  <si>
    <t>Reduce projected wealth | Enter in today's or future value</t>
  </si>
  <si>
    <t>Name</t>
  </si>
  <si>
    <t>Year</t>
  </si>
  <si>
    <t>Amount</t>
  </si>
  <si>
    <t>Amt Type</t>
  </si>
  <si>
    <t>Inflate?</t>
  </si>
  <si>
    <t>Inf Rate</t>
  </si>
  <si>
    <t>Yrs Until</t>
  </si>
  <si>
    <t>Future Value</t>
  </si>
  <si>
    <t>Child's Wedding</t>
  </si>
  <si>
    <t>Wedding</t>
  </si>
  <si>
    <t>Today's Value</t>
  </si>
  <si>
    <t>House Down Payment</t>
  </si>
  <si>
    <t>House</t>
  </si>
  <si>
    <t>Car Upgrade</t>
  </si>
  <si>
    <t>Car</t>
  </si>
  <si>
    <t>Higher Education</t>
  </si>
  <si>
    <t>Education</t>
  </si>
  <si>
    <t>Medical Reserve</t>
  </si>
  <si>
    <t>Medical</t>
  </si>
  <si>
    <t>GOAL-BASED WEALTH PLANNING</t>
  </si>
  <si>
    <t>Link investments to goals | Track funding status</t>
  </si>
  <si>
    <t>Goal</t>
  </si>
  <si>
    <t>Target ₹</t>
  </si>
  <si>
    <t>Target Year</t>
  </si>
  <si>
    <t>Current Funded ₹</t>
  </si>
  <si>
    <t>Monthly Allocation</t>
  </si>
  <si>
    <t>Years Left</t>
  </si>
  <si>
    <t>FV of Goal</t>
  </si>
  <si>
    <t>Projected Funded</t>
  </si>
  <si>
    <t>Shortfall</t>
  </si>
  <si>
    <t>Funded %</t>
  </si>
  <si>
    <t>Status</t>
  </si>
  <si>
    <t>Retirement Corpus</t>
  </si>
  <si>
    <t>Child's Education</t>
  </si>
  <si>
    <t>House Purchase</t>
  </si>
  <si>
    <t>Emergency Fund</t>
  </si>
  <si>
    <t>Vacation Fund</t>
  </si>
  <si>
    <t>INSURANCE GAP ANALYSIS</t>
  </si>
  <si>
    <t>Life + Health + Vehicle coverage adequacy check</t>
  </si>
  <si>
    <t>Provider</t>
  </si>
  <si>
    <t>Sum Assured ₹</t>
  </si>
  <si>
    <t>Premium/Year ₹</t>
  </si>
  <si>
    <t>Expiry</t>
  </si>
  <si>
    <t>Cover Type</t>
  </si>
  <si>
    <t>Term Life</t>
  </si>
  <si>
    <t>HDFC Life</t>
  </si>
  <si>
    <t>Individual</t>
  </si>
  <si>
    <t>Pure term</t>
  </si>
  <si>
    <t>Health</t>
  </si>
  <si>
    <t>Star Health</t>
  </si>
  <si>
    <t>Family</t>
  </si>
  <si>
    <t>Family floater</t>
  </si>
  <si>
    <t>Critical Illness</t>
  </si>
  <si>
    <t>ICICI Pru</t>
  </si>
  <si>
    <t>CI rider</t>
  </si>
  <si>
    <t>Vehicle</t>
  </si>
  <si>
    <t>ICICI Lombard</t>
  </si>
  <si>
    <t>Comprehensive</t>
  </si>
  <si>
    <t/>
  </si>
  <si>
    <t>Annual Income</t>
  </si>
  <si>
    <t>Life Cover Needed (10× income)</t>
  </si>
  <si>
    <t>Current Life Cover</t>
  </si>
  <si>
    <t>LIFE COVER GAP</t>
  </si>
  <si>
    <t>Health Cover Needed (₹)</t>
  </si>
  <si>
    <t>Current Health Cover</t>
  </si>
  <si>
    <t>HEALTH COVER GAP</t>
  </si>
  <si>
    <t>Total Annual Premiums</t>
  </si>
  <si>
    <t>Premium as % of Income</t>
  </si>
  <si>
    <t>HELPER CALCULATIONS — DO NOT EDIT</t>
  </si>
  <si>
    <t>All intermediate calculations | Can be hidden</t>
  </si>
  <si>
    <t>A. INDIVIDUAL PROJECTIONS</t>
  </si>
  <si>
    <t>Cur Val</t>
  </si>
  <si>
    <t>Eff Ret</t>
  </si>
  <si>
    <t>StepUp</t>
  </si>
  <si>
    <t>Eff Tenure</t>
  </si>
  <si>
    <t>Horizon</t>
  </si>
  <si>
    <t>FV Lump</t>
  </si>
  <si>
    <t>FV Recur</t>
  </si>
  <si>
    <t>Total@Mat</t>
  </si>
  <si>
    <t>Val@Horizon</t>
  </si>
  <si>
    <t>Contributions</t>
  </si>
  <si>
    <t>Gains</t>
  </si>
  <si>
    <t>Tax</t>
  </si>
  <si>
    <t>Post-Tax</t>
  </si>
  <si>
    <t>Inf-Adj</t>
  </si>
  <si>
    <t>B. PORTFOLIO AGGREGATION</t>
  </si>
  <si>
    <t>Current Asset Value</t>
  </si>
  <si>
    <t>Projected Nominal</t>
  </si>
  <si>
    <t>Post-Tax NW</t>
  </si>
  <si>
    <t>Tax Deducted</t>
  </si>
  <si>
    <t>Inflation-Adj</t>
  </si>
  <si>
    <t>Future Expenses</t>
  </si>
  <si>
    <t>Total Debt</t>
  </si>
  <si>
    <t>TRUE Net Worth (Pre-Tax)</t>
  </si>
  <si>
    <t>TRUE Net Worth (Post-Tax)</t>
  </si>
  <si>
    <t>Net After Expenses</t>
  </si>
  <si>
    <t>Inflation Erosion ₹</t>
  </si>
  <si>
    <t>Inflation Erosion %</t>
  </si>
  <si>
    <t>Monthly Investment</t>
  </si>
  <si>
    <t>Emergency Fund Needed</t>
  </si>
  <si>
    <t>Liquid Assets</t>
  </si>
  <si>
    <t>Emergency Ratio</t>
  </si>
  <si>
    <t>Portfolio Risk Level</t>
  </si>
  <si>
    <t>Display Factor</t>
  </si>
  <si>
    <t>C. ALLOCATION &amp; REBALANCING</t>
  </si>
  <si>
    <t>Current Val</t>
  </si>
  <si>
    <t>Cur%</t>
  </si>
  <si>
    <t>Target%</t>
  </si>
  <si>
    <t>Deviation</t>
  </si>
  <si>
    <t>Action</t>
  </si>
  <si>
    <t>D. SCENARIO OUTPUTS</t>
  </si>
  <si>
    <t>Mult</t>
  </si>
  <si>
    <t>Pre-Tax</t>
  </si>
  <si>
    <t>Real NW</t>
  </si>
  <si>
    <t>Drag%</t>
  </si>
  <si>
    <t>E. YEAR-BY-YEAR</t>
  </si>
  <si>
    <t>Yr</t>
  </si>
  <si>
    <t>Nominal</t>
  </si>
  <si>
    <t>Real</t>
  </si>
  <si>
    <t>Expenses</t>
  </si>
  <si>
    <t>Net</t>
  </si>
  <si>
    <t>F. RETIREMENT ADEQUACY</t>
  </si>
  <si>
    <t>Years to Retirement</t>
  </si>
  <si>
    <t>Years in Retirement</t>
  </si>
  <si>
    <t>Monthly Expense at Retirement</t>
  </si>
  <si>
    <t>Annual Expense at Retirement</t>
  </si>
  <si>
    <t>Required Retirement Corpus</t>
  </si>
  <si>
    <t>Projected Corpus at Retirement</t>
  </si>
  <si>
    <t>Retirement SURPLUS / GAP</t>
  </si>
  <si>
    <t>Retirement Readiness %</t>
  </si>
  <si>
    <t>G. STRESS TEST RESULTS</t>
  </si>
  <si>
    <t>Equity Loss</t>
  </si>
  <si>
    <t>Debt Loss</t>
  </si>
  <si>
    <t>Gold Change</t>
  </si>
  <si>
    <t>Portfolio Impact</t>
  </si>
  <si>
    <t>Recovery Years</t>
  </si>
  <si>
    <t>WHAT-IF SCENARIO BUILDER</t>
  </si>
  <si>
    <t>Compare current plan vs hypothetical changes</t>
  </si>
  <si>
    <t>WHAT-IF SCENARIOS</t>
  </si>
  <si>
    <t>What If...</t>
  </si>
  <si>
    <t>Change Amount</t>
  </si>
  <si>
    <t>Current Plan NW</t>
  </si>
  <si>
    <t>What-If NW</t>
  </si>
  <si>
    <t>Impact ₹</t>
  </si>
  <si>
    <t>Impact %</t>
  </si>
  <si>
    <t>Scenario driver note:
All what-if assumptions now reference Assumptions_Config model drivers instead of hardcoded constants.</t>
  </si>
  <si>
    <t>Increase SIP by ₹5,000/month</t>
  </si>
  <si>
    <t>Add ₹10,00,000 lump sum today</t>
  </si>
  <si>
    <t>Stop all SIPs for 2 years</t>
  </si>
  <si>
    <t>Retire 5 years earlier</t>
  </si>
  <si>
    <t>Inflation is 10% instead of 8%</t>
  </si>
  <si>
    <t>Increase step-up to 15%</t>
  </si>
  <si>
    <t>FINANCIAL HEALTH SCORECARD</t>
  </si>
  <si>
    <t>10-Dimension Assessment | Auto-Scored from Your Data</t>
  </si>
  <si>
    <t>HEALTH DIMENSIONS (0-10 each)</t>
  </si>
  <si>
    <t>#</t>
  </si>
  <si>
    <t>Dimension</t>
  </si>
  <si>
    <t>Score</t>
  </si>
  <si>
    <t>Max</t>
  </si>
  <si>
    <t>Recommendation</t>
  </si>
  <si>
    <t>Savings Rate</t>
  </si>
  <si>
    <t>Save 20%+ of income</t>
  </si>
  <si>
    <t>Build 6 months expenses</t>
  </si>
  <si>
    <t>Debt Health</t>
  </si>
  <si>
    <t>Keep debt-to-income &lt;40%</t>
  </si>
  <si>
    <t>Insurance Cover</t>
  </si>
  <si>
    <t>10× income life cover</t>
  </si>
  <si>
    <t>Diversification</t>
  </si>
  <si>
    <t>No single asset &gt;25%</t>
  </si>
  <si>
    <t>Tax Efficiency</t>
  </si>
  <si>
    <t>Use 80C, NPS, PPF</t>
  </si>
  <si>
    <t>Retirement Ready</t>
  </si>
  <si>
    <t>Target 100% funded</t>
  </si>
  <si>
    <t>Goal Funding</t>
  </si>
  <si>
    <t>All goals on track</t>
  </si>
  <si>
    <t>Risk Alignment</t>
  </si>
  <si>
    <t>Match risk to profile</t>
  </si>
  <si>
    <t>Liquidity</t>
  </si>
  <si>
    <t>Adequate liquid assets</t>
  </si>
  <si>
    <t>WEIGHTED SCORE (out of 100)</t>
  </si>
  <si>
    <t>PRIORITY ACTION ITEMS</t>
  </si>
  <si>
    <t>Impact</t>
  </si>
  <si>
    <t>Build emergency fund to 6 months</t>
  </si>
  <si>
    <t>🔴 HIGH</t>
  </si>
  <si>
    <t>Safety</t>
  </si>
  <si>
    <t>☐ Pending</t>
  </si>
  <si>
    <t>Increase term life cover</t>
  </si>
  <si>
    <t>Risk</t>
  </si>
  <si>
    <t>Pay off high-interest debt first</t>
  </si>
  <si>
    <t>🟡 MED</t>
  </si>
  <si>
    <t>Savings</t>
  </si>
  <si>
    <t>Start ELSS SIP for 80C benefit</t>
  </si>
  <si>
    <t>Rebalance: align to target allocation</t>
  </si>
  <si>
    <t>🟢 LOW</t>
  </si>
  <si>
    <t>Returns</t>
  </si>
  <si>
    <t>Review insurance annually</t>
  </si>
  <si>
    <t>Increase SIP step-up to 10%+</t>
  </si>
  <si>
    <t>Growth</t>
  </si>
  <si>
    <t>Diversify: reduce concentration risk</t>
  </si>
  <si>
    <t>ADVISOR DASHBOARD — COMPLETE ANALYTICS</t>
  </si>
  <si>
    <t>Updated: 18-Mar-2026 | Industry-standard refresh | Focus: gaps, actions, comparatives</t>
  </si>
  <si>
    <t>Horizon:</t>
  </si>
  <si>
    <t>Unit:</t>
  </si>
  <si>
    <t>Inflation:</t>
  </si>
  <si>
    <t>Tax:</t>
  </si>
  <si>
    <t>Risk:</t>
  </si>
  <si>
    <t>TRUE NET WORTH</t>
  </si>
  <si>
    <t>PROJECTED POST-TAX</t>
  </si>
  <si>
    <t>GOAL FUNDING %</t>
  </si>
  <si>
    <t>RETIREMENT READY</t>
  </si>
  <si>
    <t>EMERGENCY RATIO</t>
  </si>
  <si>
    <t>FUNDING GAP</t>
  </si>
  <si>
    <t>Across all goals</t>
  </si>
  <si>
    <t>Target 100%</t>
  </si>
  <si>
    <t>Target 1.0x</t>
  </si>
  <si>
    <t>After major expenses</t>
  </si>
  <si>
    <t>Monthly SIP</t>
  </si>
  <si>
    <t>Debt / Income</t>
  </si>
  <si>
    <t>Life Cover Gap</t>
  </si>
  <si>
    <t>Max Concentration</t>
  </si>
  <si>
    <t>Health Score</t>
  </si>
  <si>
    <t>ALLOCATION &amp; REBALANCING</t>
  </si>
  <si>
    <t>Current</t>
  </si>
  <si>
    <t>Target</t>
  </si>
  <si>
    <t>TOP PRIORITIES</t>
  </si>
  <si>
    <t>CHARTS</t>
  </si>
  <si>
    <t>Siddharth Tiwari</t>
  </si>
  <si>
    <t>WEALTH ADVISORY — EXECUTIVE SUMMARY</t>
  </si>
  <si>
    <t>Date: 18 March 2026 | Confidential</t>
  </si>
  <si>
    <t>Client:</t>
  </si>
  <si>
    <t>Goal Funding %</t>
  </si>
  <si>
    <t>Executive focus: build protection first, close the funding gap, and rebalance toward target allocation. Review goal funding, retirement readiness, and liquidity before adding new risk.</t>
  </si>
  <si>
    <t>YOUR WEALTH PROJECTION</t>
  </si>
  <si>
    <t>Disclaimer: Projections based on assumed returns. Past performance ≠ future results. Market-linked investments subject to risk. Consult your advisor. Siddharth Tiwari |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</si>
</sst>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\₹#,##0"/>
    <numFmt numFmtId="166" formatCode="\+0.0%;\-0.0%"/>
    <numFmt numFmtId="167" formatCode="0.0"/>
    <numFmt numFmtId="168" formatCode="0.0\x"/>
    <numFmt numFmtId="169" formatCode="0&quot; Yrs&quot;"/>
    <numFmt numFmtId="171" formatCode="#,##0.0;[Red]\(#,##0.0\)"/>
    <numFmt numFmtId="172" formatCode="#,##0.0"/>
  </numFmts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0"/>
      <color rgb="FFC9A96E"/>
      <name val="Calibri"/>
    </font>
    <font>
      <b/>
      <sz val="13"/>
      <color rgb="FF1B2A4A"/>
      <name val="Calibri"/>
    </font>
    <font>
      <b/>
      <sz val="10"/>
      <color rgb="FFFFFFFF"/>
      <name val="Calibri"/>
    </font>
    <font>
      <sz val="10"/>
      <color rgb="FF1B2A4A"/>
      <name val="Calibri"/>
    </font>
    <font>
      <b/>
      <sz val="10"/>
      <color rgb="FF1B2A4A"/>
      <name val="Calibri"/>
    </font>
    <font>
      <b/>
      <sz val="11"/>
      <color rgb="FF1B2A4A"/>
      <name val="Calibri"/>
    </font>
    <font>
      <sz val="9"/>
      <color rgb="FF2C3E6B"/>
      <name val="Calibri"/>
    </font>
    <font>
      <b/>
      <sz val="11"/>
      <color rgb="FFC0392B"/>
      <name val="Calibri"/>
    </font>
    <font>
      <b/>
      <sz val="11"/>
      <color rgb="FF27AE60"/>
      <name val="Calibri"/>
    </font>
    <font>
      <b/>
      <sz val="11"/>
      <color rgb="FFE67E22"/>
      <name val="Calibri"/>
    </font>
    <font>
      <b/>
      <sz val="14"/>
      <color rgb="FFFFFFFF"/>
      <name val="Calibri"/>
    </font>
    <font>
      <b/>
      <sz val="14"/>
      <color rgb="FF1B2A4A"/>
      <name val="Calibri"/>
    </font>
    <font>
      <b/>
      <sz val="28"/>
      <color rgb="FFFFFFFF"/>
      <name val="Calibri"/>
    </font>
    <font>
      <b/>
      <sz val="9"/>
      <color rgb="FFC9A96E"/>
      <name val="Calibri"/>
    </font>
    <font>
      <b/>
      <sz val="20"/>
      <color rgb="FFFFFFFF"/>
      <name val="Calibri"/>
    </font>
    <font>
      <sz val="8"/>
      <color rgb="FFD5D8DC"/>
      <name val="Calibri"/>
    </font>
    <font>
      <b/>
      <sz val="20"/>
      <color rgb="FFC9A96E"/>
      <name val="Calibri"/>
    </font>
    <font>
      <i/>
      <sz val="10"/>
      <color rgb="FF1B2A4A"/>
      <name val="Calibri"/>
    </font>
    <font>
      <i/>
      <sz val="8"/>
      <color rgb="FFD5D8DC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6B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EBF0F7"/>
      </patternFill>
    </fill>
    <fill>
      <patternFill patternType="solid">
        <fgColor rgb="FFC0392B"/>
      </patternFill>
    </fill>
    <fill>
      <patternFill patternType="solid">
        <fgColor rgb="FF1ABC9C"/>
      </patternFill>
    </fill>
    <fill>
      <patternFill patternType="solid">
        <fgColor rgb="FF27AE60"/>
      </patternFill>
    </fill>
    <fill>
      <patternFill patternType="solid">
        <fgColor rgb="FF3A5199"/>
      </patternFill>
    </fill>
    <fill>
      <patternFill patternType="solid">
        <fgColor rgb="FF8E44AD"/>
      </patternFill>
    </fill>
    <fill>
      <patternFill patternType="solid">
        <fgColor rgb="FFE67E22"/>
      </patternFill>
    </fill>
    <fill>
      <patternFill patternType="solid">
        <fgColor rgb="FFC9A96E"/>
      </patternFill>
    </fill>
  </fills>
  <borders count="16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C9A96E"/>
      </left>
      <right style="thin">
        <color rgb="FFC9A96E"/>
      </right>
      <top style="thin">
        <color rgb="FFC9A96E"/>
      </top>
      <bottom style="thin">
        <color rgb="FFC9A96E"/>
      </bottom>
      <diagonal/>
    </border>
    <border>
      <left/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/>
      <bottom/>
      <diagonal/>
    </border>
    <border>
      <left/>
      <right style="thin">
        <color rgb="FFD5D8DC"/>
      </right>
      <top/>
      <bottom/>
      <diagonal/>
    </border>
    <border>
      <left style="thin">
        <color rgb="FFD5D8DC"/>
      </left>
      <right/>
      <top/>
      <bottom style="thin">
        <color rgb="FFD5D8DC"/>
      </bottom>
      <diagonal/>
    </border>
    <border>
      <left/>
      <right/>
      <top/>
      <bottom style="thin">
        <color rgb="FFD5D8DC"/>
      </bottom>
      <diagonal/>
    </border>
    <border>
      <left/>
      <right style="thin">
        <color rgb="FFD5D8DC"/>
      </right>
      <top/>
      <bottom style="thin">
        <color rgb="FFD5D8DC"/>
      </bottom>
      <diagonal/>
    </border>
    <border>
      <left/>
      <right/>
      <top/>
      <bottom style="medium">
        <color rgb="FFC9A96E"/>
      </bottom>
      <diagonal/>
    </border>
    <border>
      <left/>
      <right/>
      <top style="thin">
        <color rgb="FFC9A96E"/>
      </top>
      <bottom style="thin">
        <color rgb="FFC9A96E"/>
      </bottom>
      <diagonal/>
    </border>
    <border>
      <left/>
      <right style="thin">
        <color rgb="FFC9A96E"/>
      </right>
      <top style="thin">
        <color rgb="FFC9A96E"/>
      </top>
      <bottom style="thin">
        <color rgb="FFC9A96E"/>
      </bottom>
      <diagonal/>
    </border>
    <border>
      <left/>
      <right/>
      <top/>
      <bottom style="medium">
        <color rgb="FFC9A96E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7" fillId="6" borderId="2" xfId="0" applyFont="1" applyFill="1" applyBorder="1" applyAlignment="1">
      <alignment horizontal="center" vertical="center" wrapText="1"/>
    </xf>
    <xf numFmtId="1" fontId="7" fillId="6" borderId="2" xfId="0" applyNumberFormat="1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165" fontId="7" fillId="6" borderId="2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/>
    <xf numFmtId="2" fontId="0" fillId="6" borderId="2" xfId="0" applyNumberFormat="1" applyFill="1" applyBorder="1" applyAlignment="1">
      <alignment horizontal="center"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8" fillId="6" borderId="2" xfId="0" applyFont="1" applyFill="1" applyBorder="1"/>
    <xf numFmtId="0" fontId="6" fillId="5" borderId="1" xfId="0" applyFont="1" applyFill="1" applyBorder="1"/>
    <xf numFmtId="0" fontId="5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66" fontId="9" fillId="6" borderId="2" xfId="0" applyNumberFormat="1" applyFont="1" applyFill="1" applyBorder="1" applyAlignment="1">
      <alignment horizontal="center" vertical="center" wrapText="1"/>
    </xf>
    <xf numFmtId="166" fontId="10" fillId="6" borderId="2" xfId="0" applyNumberFormat="1" applyFont="1" applyFill="1" applyBorder="1" applyAlignment="1">
      <alignment horizontal="center" vertical="center" wrapText="1"/>
    </xf>
    <xf numFmtId="9" fontId="0" fillId="6" borderId="2" xfId="0" applyNumberFormat="1" applyFill="1" applyBorder="1" applyAlignment="1">
      <alignment horizontal="center" vertical="center" wrapText="1"/>
    </xf>
    <xf numFmtId="0" fontId="8" fillId="4" borderId="0" xfId="0" applyFont="1" applyFill="1" applyAlignment="1">
      <alignment horizontal="right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167" fontId="7" fillId="7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7" fontId="5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5" fontId="0" fillId="7" borderId="1" xfId="0" applyNumberFormat="1" applyFill="1" applyBorder="1"/>
    <xf numFmtId="165" fontId="9" fillId="7" borderId="1" xfId="0" applyNumberFormat="1" applyFont="1" applyFill="1" applyBorder="1"/>
    <xf numFmtId="0" fontId="0" fillId="7" borderId="1" xfId="0" applyFill="1" applyBorder="1"/>
    <xf numFmtId="0" fontId="3" fillId="0" borderId="0" xfId="0" applyFont="1"/>
    <xf numFmtId="168" fontId="7" fillId="7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0" borderId="0" xfId="0" applyFont="1"/>
    <xf numFmtId="165" fontId="10" fillId="7" borderId="1" xfId="0" applyNumberFormat="1" applyFont="1" applyFill="1" applyBorder="1"/>
    <xf numFmtId="165" fontId="10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164" fontId="0" fillId="7" borderId="0" xfId="0" applyNumberFormat="1" applyFill="1"/>
    <xf numFmtId="0" fontId="0" fillId="7" borderId="0" xfId="0" applyFill="1"/>
    <xf numFmtId="165" fontId="9" fillId="7" borderId="0" xfId="0" applyNumberFormat="1" applyFont="1" applyFill="1"/>
    <xf numFmtId="0" fontId="4" fillId="11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/>
    <xf numFmtId="0" fontId="4" fillId="12" borderId="1" xfId="0" applyFon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0" fontId="6" fillId="4" borderId="0" xfId="0" applyFont="1" applyFill="1" applyAlignment="1">
      <alignment horizontal="right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166" fontId="0" fillId="7" borderId="1" xfId="0" applyNumberFormat="1" applyFill="1" applyBorder="1"/>
    <xf numFmtId="2" fontId="0" fillId="7" borderId="1" xfId="0" applyNumberFormat="1" applyFill="1" applyBorder="1"/>
    <xf numFmtId="0" fontId="0" fillId="7" borderId="1" xfId="0" applyFill="1" applyBorder="1" applyAlignment="1">
      <alignment horizontal="center" vertical="center" wrapText="1"/>
    </xf>
    <xf numFmtId="9" fontId="7" fillId="7" borderId="1" xfId="0" applyNumberFormat="1" applyFont="1" applyFill="1" applyBorder="1" applyAlignment="1">
      <alignment horizontal="center" vertical="center" wrapText="1"/>
    </xf>
    <xf numFmtId="167" fontId="0" fillId="7" borderId="1" xfId="0" applyNumberFormat="1" applyFill="1" applyBorder="1"/>
    <xf numFmtId="0" fontId="6" fillId="6" borderId="2" xfId="0" applyFont="1" applyFill="1" applyBorder="1"/>
    <xf numFmtId="165" fontId="0" fillId="6" borderId="2" xfId="0" applyNumberFormat="1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/>
    <xf numFmtId="0" fontId="5" fillId="4" borderId="1" xfId="0" applyFont="1" applyFill="1" applyBorder="1" applyAlignment="1">
      <alignment horizontal="left" vertical="center" wrapText="1"/>
    </xf>
    <xf numFmtId="169" fontId="7" fillId="7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10" borderId="1" xfId="0" applyFill="1" applyBorder="1"/>
    <xf numFmtId="0" fontId="0" fillId="13" borderId="1" xfId="0" applyFill="1" applyBorder="1"/>
    <xf numFmtId="0" fontId="0" fillId="8" borderId="1" xfId="0" applyFill="1" applyBorder="1"/>
    <xf numFmtId="0" fontId="0" fillId="12" borderId="1" xfId="0" applyFill="1" applyBorder="1"/>
    <xf numFmtId="0" fontId="0" fillId="7" borderId="1" xfId="0" applyFill="1" applyBorder="1" applyAlignment="1">
      <alignment horizontal="left" vertical="center" wrapText="1"/>
    </xf>
    <xf numFmtId="166" fontId="7" fillId="6" borderId="2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71" fontId="0" fillId="7" borderId="1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5" fillId="4" borderId="0" xfId="0" applyFont="1" applyFill="1" applyAlignment="1">
      <alignment horizontal="left" vertical="top" wrapText="1"/>
    </xf>
    <xf numFmtId="0" fontId="6" fillId="4" borderId="0" xfId="0" applyFont="1" applyFill="1"/>
    <xf numFmtId="0" fontId="3" fillId="0" borderId="15" xfId="0" applyFont="1" applyBorder="1" applyAlignment="1">
      <alignment horizontal="left" vertical="center" wrapText="1"/>
    </xf>
    <xf numFmtId="0" fontId="0" fillId="0" borderId="12" xfId="0" applyBorder="1"/>
    <xf numFmtId="0" fontId="4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0" borderId="0" xfId="0" applyFont="1"/>
    <xf numFmtId="0" fontId="6" fillId="7" borderId="0" xfId="0" applyFont="1" applyFill="1"/>
    <xf numFmtId="0" fontId="6" fillId="6" borderId="0" xfId="0" applyFont="1" applyFill="1"/>
    <xf numFmtId="0" fontId="3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right" vertical="center" wrapText="1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3" fillId="0" borderId="0" xfId="0" applyFont="1"/>
    <xf numFmtId="0" fontId="3" fillId="0" borderId="0" xfId="0" applyFont="1"/>
    <xf numFmtId="1" fontId="14" fillId="2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72" fontId="7" fillId="5" borderId="1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7" fontId="11" fillId="5" borderId="1" xfId="0" applyNumberFormat="1" applyFont="1" applyFill="1" applyBorder="1" applyAlignment="1">
      <alignment horizontal="center" vertical="center" wrapText="1"/>
    </xf>
    <xf numFmtId="171" fontId="16" fillId="3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68" fontId="10" fillId="5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171" fontId="16" fillId="12" borderId="1" xfId="0" applyNumberFormat="1" applyFont="1" applyFill="1" applyBorder="1" applyAlignment="1">
      <alignment horizontal="center" vertical="center" wrapText="1"/>
    </xf>
    <xf numFmtId="171" fontId="16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9" fontId="16" fillId="1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171" fontId="9" fillId="5" borderId="1" xfId="0" applyNumberFormat="1" applyFont="1" applyFill="1" applyBorder="1" applyAlignment="1">
      <alignment horizontal="center" vertical="center" wrapText="1"/>
    </xf>
    <xf numFmtId="168" fontId="16" fillId="8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9" fontId="16" fillId="10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71" fontId="10" fillId="5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171" fontId="16" fillId="10" borderId="1" xfId="0" applyNumberFormat="1" applyFont="1" applyFill="1" applyBorder="1" applyAlignment="1">
      <alignment horizontal="center" vertical="center" wrapText="1"/>
    </xf>
    <xf numFmtId="0" fontId="0" fillId="14" borderId="0" xfId="0" applyFill="1"/>
    <xf numFmtId="168" fontId="9" fillId="5" borderId="1" xfId="0" applyNumberFormat="1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top" wrapText="1"/>
    </xf>
    <xf numFmtId="0" fontId="19" fillId="4" borderId="0" xfId="0" applyFont="1" applyFill="1" applyAlignment="1">
      <alignment horizontal="left" vertical="top" wrapText="1"/>
    </xf>
    <xf numFmtId="0" fontId="13" fillId="6" borderId="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8" fillId="2" borderId="0" xfId="0" applyFont="1" applyFill="1" applyAlignment="1">
      <alignment horizontal="left" vertical="center"/>
    </xf>
    <xf numFmtId="0" fontId="5" fillId="7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165" fontId="5" fillId="6" borderId="0" xfId="0" applyNumberFormat="1" applyFont="1" applyFill="1" applyBorder="1" applyAlignment="1">
      <alignment horizontal="center" vertical="center" wrapText="1"/>
    </xf>
    <xf numFmtId="164" fontId="5" fillId="6" borderId="0" xfId="0" applyNumberFormat="1" applyFont="1" applyFill="1" applyBorder="1" applyAlignment="1">
      <alignment horizontal="center" vertical="center" wrapText="1"/>
    </xf>
    <xf numFmtId="164" fontId="5" fillId="7" borderId="0" xfId="0" applyNumberFormat="1" applyFont="1" applyFill="1" applyBorder="1" applyAlignment="1">
      <alignment horizontal="center" vertical="center" wrapText="1"/>
    </xf>
    <xf numFmtId="167" fontId="5" fillId="7" borderId="0" xfId="0" applyNumberFormat="1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65" fontId="0" fillId="7" borderId="1" xfId="0" applyNumberFormat="1" applyFont="1" applyFill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167" fontId="0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Wealth Growth Projection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Helper_Calcs!$D$57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Helper_Calcs!$B$58:$B$78</c:f>
              <c:strCache>
                <c:ptCount val="21"/>
                <c:pt idx="2">
                  <c:v>Year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</c:strCache>
            </c:strRef>
          </c:cat>
          <c:val>
            <c:numRef>
              <c:f>Helper_Calcs!$D$58:$D$78</c:f>
              <c:numCache>
                <c:formatCode>General</c:formatCode>
                <c:ptCount val="21"/>
                <c:pt idx="2">
                  <c:v>0</c:v>
                </c:pt>
                <c:pt idx="3" formatCode="\₹#,##0">
                  <c:v>4115000</c:v>
                </c:pt>
                <c:pt idx="4" formatCode="\₹#,##0">
                  <c:v>4606448.3855632702</c:v>
                </c:pt>
                <c:pt idx="5" formatCode="\₹#,##0">
                  <c:v>5156589.7275476214</c:v>
                </c:pt>
                <c:pt idx="6" formatCode="\₹#,##0">
                  <c:v>5772433.6392403115</c:v>
                </c:pt>
                <c:pt idx="7" formatCode="\₹#,##0">
                  <c:v>6461826.8817131575</c:v>
                </c:pt>
                <c:pt idx="8" formatCode="\₹#,##0">
                  <c:v>7233553.3431487037</c:v>
                </c:pt>
                <c:pt idx="9" formatCode="\₹#,##0">
                  <c:v>8097445.9585499754</c:v>
                </c:pt>
                <c:pt idx="10" formatCode="\₹#,##0">
                  <c:v>9064511.9958562218</c:v>
                </c:pt>
                <c:pt idx="11" formatCode="\₹#,##0">
                  <c:v>10147073.304794846</c:v>
                </c:pt>
                <c:pt idx="12" formatCode="\₹#,##0">
                  <c:v>11358923.315446995</c:v>
                </c:pt>
                <c:pt idx="13" formatCode="\₹#,##0">
                  <c:v>12715502.786920484</c:v>
                </c:pt>
                <c:pt idx="14" formatCode="\₹#,##0">
                  <c:v>14234096.545427734</c:v>
                </c:pt>
                <c:pt idx="15" formatCode="\₹#,##0">
                  <c:v>15934053.718502387</c:v>
                </c:pt>
                <c:pt idx="16" formatCode="\₹#,##0">
                  <c:v>17837034.271463849</c:v>
                </c:pt>
                <c:pt idx="17" formatCode="\₹#,##0">
                  <c:v>19967284.987368498</c:v>
                </c:pt>
                <c:pt idx="18" formatCode="\₹#,##0">
                  <c:v>22351948.406839691</c:v>
                </c:pt>
                <c:pt idx="19" formatCode="\₹#,##0">
                  <c:v>25021408.664126415</c:v>
                </c:pt>
                <c:pt idx="20" formatCode="\₹#,##0">
                  <c:v>28009678.625852723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8-4BB8-AE50-1E21D06042FE}"/>
            </c:ext>
          </c:extLst>
        </c:ser>
        <c:ser>
          <c:idx val="1"/>
          <c:order val="1"/>
          <c:tx>
            <c:strRef>
              <c:f>Helper_Calcs!$E$57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Helper_Calcs!$B$58:$B$78</c:f>
              <c:strCache>
                <c:ptCount val="21"/>
                <c:pt idx="2">
                  <c:v>Year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</c:strCache>
            </c:strRef>
          </c:cat>
          <c:val>
            <c:numRef>
              <c:f>Helper_Calcs!$E$58:$E$78</c:f>
              <c:numCache>
                <c:formatCode>General</c:formatCode>
                <c:ptCount val="21"/>
                <c:pt idx="2">
                  <c:v>0</c:v>
                </c:pt>
                <c:pt idx="3" formatCode="\₹#,##0">
                  <c:v>4115000</c:v>
                </c:pt>
                <c:pt idx="4" formatCode="\₹#,##0">
                  <c:v>4187680.3505120636</c:v>
                </c:pt>
                <c:pt idx="5" formatCode="\₹#,##0">
                  <c:v>4261644.4029319175</c:v>
                </c:pt>
                <c:pt idx="6" formatCode="\₹#,##0">
                  <c:v>4336914.8303834032</c:v>
                </c:pt>
                <c:pt idx="7" formatCode="\₹#,##0">
                  <c:v>4413514.706449802</c:v>
                </c:pt>
                <c:pt idx="8" formatCode="\₹#,##0">
                  <c:v>4491467.5122468667</c:v>
                </c:pt>
                <c:pt idx="9" formatCode="\₹#,##0">
                  <c:v>4570797.1436207797</c:v>
                </c:pt>
                <c:pt idx="10" formatCode="\₹#,##0">
                  <c:v>4651527.9184732437</c:v>
                </c:pt>
                <c:pt idx="11" formatCode="\₹#,##0">
                  <c:v>4733684.5842159633</c:v>
                </c:pt>
                <c:pt idx="12" formatCode="\₹#,##0">
                  <c:v>4817292.3253567582</c:v>
                </c:pt>
                <c:pt idx="13" formatCode="\₹#,##0">
                  <c:v>4902376.7712196978</c:v>
                </c:pt>
                <c:pt idx="14" formatCode="\₹#,##0">
                  <c:v>4988964.0038015805</c:v>
                </c:pt>
                <c:pt idx="15" formatCode="\₹#,##0">
                  <c:v>5077080.5657671634</c:v>
                </c:pt>
                <c:pt idx="16" formatCode="\₹#,##0">
                  <c:v>5166753.4685856178</c:v>
                </c:pt>
                <c:pt idx="17" formatCode="\₹#,##0">
                  <c:v>5258010.2008107025</c:v>
                </c:pt>
                <c:pt idx="18" formatCode="\₹#,##0">
                  <c:v>5350878.7365071606</c:v>
                </c:pt>
                <c:pt idx="19" formatCode="\₹#,##0">
                  <c:v>5445387.5438259663</c:v>
                </c:pt>
                <c:pt idx="20" formatCode="\₹#,##0">
                  <c:v>5541565.5937310206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8-4BB8-AE50-1E21D06042FE}"/>
            </c:ext>
          </c:extLst>
        </c:ser>
        <c:ser>
          <c:idx val="2"/>
          <c:order val="2"/>
          <c:tx>
            <c:strRef>
              <c:f>Helper_Calcs!$G$57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Helper_Calcs!$B$58:$B$78</c:f>
              <c:strCache>
                <c:ptCount val="21"/>
                <c:pt idx="2">
                  <c:v>Year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</c:strCache>
            </c:strRef>
          </c:cat>
          <c:val>
            <c:numRef>
              <c:f>Helper_Calcs!$G$58:$G$78</c:f>
              <c:numCache>
                <c:formatCode>General</c:formatCode>
                <c:ptCount val="21"/>
                <c:pt idx="2">
                  <c:v>0</c:v>
                </c:pt>
                <c:pt idx="3" formatCode="\₹#,##0">
                  <c:v>4115000</c:v>
                </c:pt>
                <c:pt idx="4" formatCode="\₹#,##0">
                  <c:v>4056448.3855632702</c:v>
                </c:pt>
                <c:pt idx="5" formatCode="\₹#,##0">
                  <c:v>1581589.7275476209</c:v>
                </c:pt>
                <c:pt idx="6" formatCode="\₹#,##0">
                  <c:v>2197433.639240311</c:v>
                </c:pt>
                <c:pt idx="7" formatCode="\₹#,##0">
                  <c:v>1386826.8817131575</c:v>
                </c:pt>
                <c:pt idx="8" formatCode="\₹#,##0">
                  <c:v>2158553.3431487037</c:v>
                </c:pt>
                <c:pt idx="9" formatCode="\₹#,##0">
                  <c:v>-520676.04145002645</c:v>
                </c:pt>
                <c:pt idx="10" formatCode="\₹#,##0">
                  <c:v>446389.9958562199</c:v>
                </c:pt>
                <c:pt idx="11" formatCode="\₹#,##0">
                  <c:v>1528951.3047948442</c:v>
                </c:pt>
                <c:pt idx="12" formatCode="\₹#,##0">
                  <c:v>-4333041.7575530112</c:v>
                </c:pt>
                <c:pt idx="13" formatCode="\₹#,##0">
                  <c:v>-2976462.2860795222</c:v>
                </c:pt>
                <c:pt idx="14" formatCode="\₹#,##0">
                  <c:v>-1457868.5275722723</c:v>
                </c:pt>
                <c:pt idx="15" formatCode="\₹#,##0">
                  <c:v>242088.64550238103</c:v>
                </c:pt>
                <c:pt idx="16" formatCode="\₹#,##0">
                  <c:v>2145069.1984638423</c:v>
                </c:pt>
                <c:pt idx="17" formatCode="\₹#,##0">
                  <c:v>4275319.9143684916</c:v>
                </c:pt>
                <c:pt idx="18" formatCode="\₹#,##0">
                  <c:v>6659983.3338396847</c:v>
                </c:pt>
                <c:pt idx="19" formatCode="\₹#,##0">
                  <c:v>9329443.5911264084</c:v>
                </c:pt>
                <c:pt idx="20" formatCode="\₹#,##0">
                  <c:v>12317713.552852716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A8-4BB8-AE50-1E21D0604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;;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Scenario Post-Tax vs Real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Helper_Calcs!$D$51</c:f>
              <c:strCache>
                <c:ptCount val="1"/>
                <c:pt idx="0">
                  <c:v>Post-Tax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Helper_Calcs!$A$52:$A$56</c:f>
              <c:strCache>
                <c:ptCount val="5"/>
                <c:pt idx="0">
                  <c:v>Optimistic</c:v>
                </c:pt>
                <c:pt idx="1">
                  <c:v>Mod. Optimistic</c:v>
                </c:pt>
                <c:pt idx="2">
                  <c:v>Base Case</c:v>
                </c:pt>
                <c:pt idx="3">
                  <c:v>Mod. Conservative</c:v>
                </c:pt>
                <c:pt idx="4">
                  <c:v>Conservative</c:v>
                </c:pt>
              </c:strCache>
            </c:strRef>
          </c:cat>
          <c:val>
            <c:numRef>
              <c:f>Helper_Calcs!$D$52:$D$56</c:f>
              <c:numCache>
                <c:formatCode>\₹#,##0</c:formatCode>
                <c:ptCount val="5"/>
                <c:pt idx="0">
                  <c:v>23517044.305465352</c:v>
                </c:pt>
                <c:pt idx="1">
                  <c:v>22417354.266824286</c:v>
                </c:pt>
                <c:pt idx="2">
                  <c:v>21455125.483013351</c:v>
                </c:pt>
                <c:pt idx="3">
                  <c:v>20080512.934712015</c:v>
                </c:pt>
                <c:pt idx="4">
                  <c:v>18705900.386410683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D-45ED-BDB9-8DAFBA059B6F}"/>
            </c:ext>
          </c:extLst>
        </c:ser>
        <c:ser>
          <c:idx val="1"/>
          <c:order val="1"/>
          <c:tx>
            <c:strRef>
              <c:f>Helper_Calcs!$E$51</c:f>
              <c:strCache>
                <c:ptCount val="1"/>
                <c:pt idx="0">
                  <c:v>Real NW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Helper_Calcs!$A$52:$A$56</c:f>
              <c:strCache>
                <c:ptCount val="5"/>
                <c:pt idx="0">
                  <c:v>Optimistic</c:v>
                </c:pt>
                <c:pt idx="1">
                  <c:v>Mod. Optimistic</c:v>
                </c:pt>
                <c:pt idx="2">
                  <c:v>Base Case</c:v>
                </c:pt>
                <c:pt idx="3">
                  <c:v>Mod. Conservative</c:v>
                </c:pt>
                <c:pt idx="4">
                  <c:v>Conservative</c:v>
                </c:pt>
              </c:strCache>
            </c:strRef>
          </c:cat>
          <c:val>
            <c:numRef>
              <c:f>Helper_Calcs!$E$52:$E$56</c:f>
              <c:numCache>
                <c:formatCode>\₹#,##0</c:formatCode>
                <c:ptCount val="5"/>
                <c:pt idx="0">
                  <c:v>5629793.4313907642</c:v>
                </c:pt>
                <c:pt idx="1">
                  <c:v>5366536.3793696249</c:v>
                </c:pt>
                <c:pt idx="2">
                  <c:v>5136186.4588511279</c:v>
                </c:pt>
                <c:pt idx="3">
                  <c:v>4807115.1438247031</c:v>
                </c:pt>
                <c:pt idx="4">
                  <c:v>4478043.8287982792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D-45ED-BDB9-8DAFBA059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Current vs Target Allocation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Helper_Calcs!$D$44</c:f>
              <c:strCache>
                <c:ptCount val="1"/>
                <c:pt idx="0">
                  <c:v>Cur%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Helper_Calcs!$A$45:$A$47</c:f>
              <c:strCache>
                <c:ptCount val="3"/>
                <c:pt idx="0">
                  <c:v>Equity</c:v>
                </c:pt>
                <c:pt idx="1">
                  <c:v>Debt</c:v>
                </c:pt>
                <c:pt idx="2">
                  <c:v>Other</c:v>
                </c:pt>
              </c:strCache>
            </c:strRef>
          </c:cat>
          <c:val>
            <c:numRef>
              <c:f>Helper_Calcs!$D$45:$D$47</c:f>
              <c:numCache>
                <c:formatCode>0.0%</c:formatCode>
                <c:ptCount val="3"/>
                <c:pt idx="0">
                  <c:v>0.2077764277035237</c:v>
                </c:pt>
                <c:pt idx="1">
                  <c:v>0.20899149453219928</c:v>
                </c:pt>
                <c:pt idx="2">
                  <c:v>0.58323207776427699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3-4C13-BFB2-59C0F380CDD2}"/>
            </c:ext>
          </c:extLst>
        </c:ser>
        <c:ser>
          <c:idx val="1"/>
          <c:order val="1"/>
          <c:tx>
            <c:strRef>
              <c:f>Helper_Calcs!$E$44</c:f>
              <c:strCache>
                <c:ptCount val="1"/>
                <c:pt idx="0">
                  <c:v>Target%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Helper_Calcs!$A$45:$A$47</c:f>
              <c:strCache>
                <c:ptCount val="3"/>
                <c:pt idx="0">
                  <c:v>Equity</c:v>
                </c:pt>
                <c:pt idx="1">
                  <c:v>Debt</c:v>
                </c:pt>
                <c:pt idx="2">
                  <c:v>Other</c:v>
                </c:pt>
              </c:strCache>
            </c:strRef>
          </c:cat>
          <c:val>
            <c:numRef>
              <c:f>Helper_Calcs!$E$45:$E$47</c:f>
              <c:numCache>
                <c:formatCode>0.0%</c:formatCode>
                <c:ptCount val="3"/>
                <c:pt idx="0">
                  <c:v>0.7</c:v>
                </c:pt>
                <c:pt idx="1">
                  <c:v>0.1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3-4C13-BFB2-59C0F380C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Wealth Growth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Helper_Calcs!$D$57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Helper_Calcs!$B$58:$B$78</c:f>
              <c:strCache>
                <c:ptCount val="21"/>
                <c:pt idx="2">
                  <c:v>Year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</c:strCache>
            </c:strRef>
          </c:cat>
          <c:val>
            <c:numRef>
              <c:f>Helper_Calcs!$D$58:$D$78</c:f>
              <c:numCache>
                <c:formatCode>General</c:formatCode>
                <c:ptCount val="21"/>
                <c:pt idx="2">
                  <c:v>0</c:v>
                </c:pt>
                <c:pt idx="3" formatCode="\₹#,##0">
                  <c:v>4115000</c:v>
                </c:pt>
                <c:pt idx="4" formatCode="\₹#,##0">
                  <c:v>4606448.3855632702</c:v>
                </c:pt>
                <c:pt idx="5" formatCode="\₹#,##0">
                  <c:v>5156589.7275476214</c:v>
                </c:pt>
                <c:pt idx="6" formatCode="\₹#,##0">
                  <c:v>5772433.6392403115</c:v>
                </c:pt>
                <c:pt idx="7" formatCode="\₹#,##0">
                  <c:v>6461826.8817131575</c:v>
                </c:pt>
                <c:pt idx="8" formatCode="\₹#,##0">
                  <c:v>7233553.3431487037</c:v>
                </c:pt>
                <c:pt idx="9" formatCode="\₹#,##0">
                  <c:v>8097445.9585499754</c:v>
                </c:pt>
                <c:pt idx="10" formatCode="\₹#,##0">
                  <c:v>9064511.9958562218</c:v>
                </c:pt>
                <c:pt idx="11" formatCode="\₹#,##0">
                  <c:v>10147073.304794846</c:v>
                </c:pt>
                <c:pt idx="12" formatCode="\₹#,##0">
                  <c:v>11358923.315446995</c:v>
                </c:pt>
                <c:pt idx="13" formatCode="\₹#,##0">
                  <c:v>12715502.786920484</c:v>
                </c:pt>
                <c:pt idx="14" formatCode="\₹#,##0">
                  <c:v>14234096.545427734</c:v>
                </c:pt>
                <c:pt idx="15" formatCode="\₹#,##0">
                  <c:v>15934053.718502387</c:v>
                </c:pt>
                <c:pt idx="16" formatCode="\₹#,##0">
                  <c:v>17837034.271463849</c:v>
                </c:pt>
                <c:pt idx="17" formatCode="\₹#,##0">
                  <c:v>19967284.987368498</c:v>
                </c:pt>
                <c:pt idx="18" formatCode="\₹#,##0">
                  <c:v>22351948.406839691</c:v>
                </c:pt>
                <c:pt idx="19" formatCode="\₹#,##0">
                  <c:v>25021408.664126415</c:v>
                </c:pt>
                <c:pt idx="20" formatCode="\₹#,##0">
                  <c:v>28009678.625852723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1-4E8E-9936-94E905ACAB6B}"/>
            </c:ext>
          </c:extLst>
        </c:ser>
        <c:ser>
          <c:idx val="1"/>
          <c:order val="1"/>
          <c:tx>
            <c:strRef>
              <c:f>Helper_Calcs!$E$57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Helper_Calcs!$B$58:$B$78</c:f>
              <c:strCache>
                <c:ptCount val="21"/>
                <c:pt idx="2">
                  <c:v>Year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</c:strCache>
            </c:strRef>
          </c:cat>
          <c:val>
            <c:numRef>
              <c:f>Helper_Calcs!$E$58:$E$78</c:f>
              <c:numCache>
                <c:formatCode>General</c:formatCode>
                <c:ptCount val="21"/>
                <c:pt idx="2">
                  <c:v>0</c:v>
                </c:pt>
                <c:pt idx="3" formatCode="\₹#,##0">
                  <c:v>4115000</c:v>
                </c:pt>
                <c:pt idx="4" formatCode="\₹#,##0">
                  <c:v>4187680.3505120636</c:v>
                </c:pt>
                <c:pt idx="5" formatCode="\₹#,##0">
                  <c:v>4261644.4029319175</c:v>
                </c:pt>
                <c:pt idx="6" formatCode="\₹#,##0">
                  <c:v>4336914.8303834032</c:v>
                </c:pt>
                <c:pt idx="7" formatCode="\₹#,##0">
                  <c:v>4413514.706449802</c:v>
                </c:pt>
                <c:pt idx="8" formatCode="\₹#,##0">
                  <c:v>4491467.5122468667</c:v>
                </c:pt>
                <c:pt idx="9" formatCode="\₹#,##0">
                  <c:v>4570797.1436207797</c:v>
                </c:pt>
                <c:pt idx="10" formatCode="\₹#,##0">
                  <c:v>4651527.9184732437</c:v>
                </c:pt>
                <c:pt idx="11" formatCode="\₹#,##0">
                  <c:v>4733684.5842159633</c:v>
                </c:pt>
                <c:pt idx="12" formatCode="\₹#,##0">
                  <c:v>4817292.3253567582</c:v>
                </c:pt>
                <c:pt idx="13" formatCode="\₹#,##0">
                  <c:v>4902376.7712196978</c:v>
                </c:pt>
                <c:pt idx="14" formatCode="\₹#,##0">
                  <c:v>4988964.0038015805</c:v>
                </c:pt>
                <c:pt idx="15" formatCode="\₹#,##0">
                  <c:v>5077080.5657671634</c:v>
                </c:pt>
                <c:pt idx="16" formatCode="\₹#,##0">
                  <c:v>5166753.4685856178</c:v>
                </c:pt>
                <c:pt idx="17" formatCode="\₹#,##0">
                  <c:v>5258010.2008107025</c:v>
                </c:pt>
                <c:pt idx="18" formatCode="\₹#,##0">
                  <c:v>5350878.7365071606</c:v>
                </c:pt>
                <c:pt idx="19" formatCode="\₹#,##0">
                  <c:v>5445387.5438259663</c:v>
                </c:pt>
                <c:pt idx="20" formatCode="\₹#,##0">
                  <c:v>5541565.5937310206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1-4E8E-9936-94E905AC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;;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Current vs Target Allocation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Helper_Calcs!$D$44</c:f>
              <c:strCache>
                <c:ptCount val="1"/>
                <c:pt idx="0">
                  <c:v>Cur%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Helper_Calcs!$A$45:$A$47</c:f>
              <c:strCache>
                <c:ptCount val="3"/>
                <c:pt idx="0">
                  <c:v>Equity</c:v>
                </c:pt>
                <c:pt idx="1">
                  <c:v>Debt</c:v>
                </c:pt>
                <c:pt idx="2">
                  <c:v>Other</c:v>
                </c:pt>
              </c:strCache>
            </c:strRef>
          </c:cat>
          <c:val>
            <c:numRef>
              <c:f>Helper_Calcs!$D$45:$D$47</c:f>
              <c:numCache>
                <c:formatCode>0.0%</c:formatCode>
                <c:ptCount val="3"/>
                <c:pt idx="0">
                  <c:v>0.2077764277035237</c:v>
                </c:pt>
                <c:pt idx="1">
                  <c:v>0.20899149453219928</c:v>
                </c:pt>
                <c:pt idx="2">
                  <c:v>0.58323207776427699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0-48DF-BF36-DD31D61D4BC3}"/>
            </c:ext>
          </c:extLst>
        </c:ser>
        <c:ser>
          <c:idx val="1"/>
          <c:order val="1"/>
          <c:tx>
            <c:strRef>
              <c:f>Helper_Calcs!$E$44</c:f>
              <c:strCache>
                <c:ptCount val="1"/>
                <c:pt idx="0">
                  <c:v>Target%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Helper_Calcs!$A$45:$A$47</c:f>
              <c:strCache>
                <c:ptCount val="3"/>
                <c:pt idx="0">
                  <c:v>Equity</c:v>
                </c:pt>
                <c:pt idx="1">
                  <c:v>Debt</c:v>
                </c:pt>
                <c:pt idx="2">
                  <c:v>Other</c:v>
                </c:pt>
              </c:strCache>
            </c:strRef>
          </c:cat>
          <c:val>
            <c:numRef>
              <c:f>Helper_Calcs!$E$45:$E$47</c:f>
              <c:numCache>
                <c:formatCode>0.0%</c:formatCode>
                <c:ptCount val="3"/>
                <c:pt idx="0">
                  <c:v>0.7</c:v>
                </c:pt>
                <c:pt idx="1">
                  <c:v>0.1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0-48DF-BF36-DD31D61D4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2</xdr:col>
      <xdr:colOff>0</xdr:colOff>
      <xdr:row>46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ypes" displayName="tblTypes" ref="C30:I43">
  <autoFilter ref="C30:I43" xr:uid="{00000000-0009-0000-0100-000001000000}"/>
  <tableColumns count="7">
    <tableColumn id="3" xr3:uid="{00000000-0010-0000-0000-000003000000}" name="Type"/>
    <tableColumn id="4" xr3:uid="{00000000-0010-0000-0000-000004000000}" name="Asset Class"/>
    <tableColumn id="5" xr3:uid="{00000000-0010-0000-0000-000005000000}" name="Bucket"/>
    <tableColumn id="6" xr3:uid="{00000000-0010-0000-0000-000006000000}" name="Return %"/>
    <tableColumn id="7" xr3:uid="{00000000-0010-0000-0000-000007000000}" name="Compounding"/>
    <tableColumn id="8" xr3:uid="{00000000-0010-0000-0000-000008000000}" name="Risk(1-10)"/>
    <tableColumn id="9" xr3:uid="{00000000-0010-0000-0000-000009000000}" name="Volat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v" displayName="tblInv" ref="A8:AB28">
  <autoFilter ref="A8:AB28" xr:uid="{00000000-0009-0000-0100-000002000000}"/>
  <tableColumns count="28">
    <tableColumn id="1" xr3:uid="{00000000-0010-0000-0100-000001000000}" name="ID"/>
    <tableColumn id="2" xr3:uid="{00000000-0010-0000-0100-000002000000}" name="Active?"/>
    <tableColumn id="3" xr3:uid="{00000000-0010-0000-0100-000003000000}" name="Type"/>
    <tableColumn id="4" xr3:uid="{00000000-0010-0000-0100-000004000000}" name="Label"/>
    <tableColumn id="5" xr3:uid="{00000000-0010-0000-0100-000005000000}" name="Member"/>
    <tableColumn id="6" xr3:uid="{00000000-0010-0000-0100-000006000000}" name="Asset Class"/>
    <tableColumn id="7" xr3:uid="{00000000-0010-0000-0100-000007000000}" name="Bucket"/>
    <tableColumn id="8" xr3:uid="{00000000-0010-0000-0100-000008000000}" name="One-Time/Rec"/>
    <tableColumn id="9" xr3:uid="{00000000-0010-0000-0100-000009000000}" name="Current Value"/>
    <tableColumn id="10" xr3:uid="{00000000-0010-0000-0100-00000A000000}" name="Monthly"/>
    <tableColumn id="11" xr3:uid="{00000000-0010-0000-0100-00000B000000}" name="Return %"/>
    <tableColumn id="12" xr3:uid="{00000000-0010-0000-0100-00000C000000}" name="Override?"/>
    <tableColumn id="13" xr3:uid="{00000000-0010-0000-0100-00000D000000}" name="Eff Return"/>
    <tableColumn id="14" xr3:uid="{00000000-0010-0000-0100-00000E000000}" name="Step-Up %"/>
    <tableColumn id="15" xr3:uid="{00000000-0010-0000-0100-00000F000000}" name="Compounding"/>
    <tableColumn id="16" xr3:uid="{00000000-0010-0000-0100-000010000000}" name="Periods/Yr"/>
    <tableColumn id="17" xr3:uid="{00000000-0010-0000-0100-000011000000}" name="Tenure"/>
    <tableColumn id="18" xr3:uid="{00000000-0010-0000-0100-000012000000}" name="Unit"/>
    <tableColumn id="19" xr3:uid="{00000000-0010-0000-0100-000013000000}" name="Tenure(Yrs)"/>
    <tableColumn id="20" xr3:uid="{00000000-0010-0000-0100-000014000000}" name="Rem Tenure"/>
    <tableColumn id="21" xr3:uid="{00000000-0010-0000-0100-000015000000}" name="Eff Rem"/>
    <tableColumn id="22" xr3:uid="{00000000-0010-0000-0100-000016000000}" name="Reinv Ovrd"/>
    <tableColumn id="23" xr3:uid="{00000000-0010-0000-0100-000017000000}" name="Eff Reinv"/>
    <tableColumn id="24" xr3:uid="{00000000-0010-0000-0100-000018000000}" name="Risk Score"/>
    <tableColumn id="25" xr3:uid="{00000000-0010-0000-0100-000019000000}" name="Start Dt"/>
    <tableColumn id="26" xr3:uid="{00000000-0010-0000-0100-00001A000000}" name="Mat Dt"/>
    <tableColumn id="27" xr3:uid="{00000000-0010-0000-0100-00001B000000}" name="Tax?"/>
    <tableColumn id="28" xr3:uid="{00000000-0010-0000-0100-00001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P62"/>
  <sheetViews>
    <sheetView showGridLines="0" topLeftCell="A20" workbookViewId="0">
      <selection activeCell="C6" sqref="C6"/>
    </sheetView>
  </sheetViews>
  <sheetFormatPr defaultRowHeight="14.4" x14ac:dyDescent="0.3"/>
  <cols>
    <col min="1" max="1" width="4" customWidth="1"/>
    <col min="2" max="2" width="30" customWidth="1"/>
    <col min="3" max="3" width="48" customWidth="1"/>
    <col min="4" max="4" width="38" customWidth="1"/>
    <col min="5" max="16" width="14" customWidth="1"/>
  </cols>
  <sheetData>
    <row r="1" spans="1:16" ht="55.05" customHeight="1" x14ac:dyDescent="0.3">
      <c r="A1" s="83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25.95" customHeight="1" x14ac:dyDescent="0.3">
      <c r="A2" s="84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4" spans="1:16" ht="28.05" customHeight="1" x14ac:dyDescent="0.3">
      <c r="A4" s="80" t="s">
        <v>2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</row>
    <row r="5" spans="1:16" x14ac:dyDescent="0.3">
      <c r="B5" s="1" t="s">
        <v>3</v>
      </c>
      <c r="C5" s="1" t="s">
        <v>4</v>
      </c>
      <c r="D5" s="1" t="s">
        <v>5</v>
      </c>
    </row>
    <row r="6" spans="1:16" ht="24" customHeight="1" x14ac:dyDescent="0.3">
      <c r="B6" s="2" t="s">
        <v>6</v>
      </c>
      <c r="C6" s="2" t="s">
        <v>7</v>
      </c>
      <c r="D6" s="2" t="s">
        <v>8</v>
      </c>
    </row>
    <row r="7" spans="1:16" ht="24" customHeight="1" x14ac:dyDescent="0.3">
      <c r="B7" s="3" t="s">
        <v>9</v>
      </c>
      <c r="C7" s="3" t="s">
        <v>10</v>
      </c>
      <c r="D7" s="3" t="s">
        <v>11</v>
      </c>
    </row>
    <row r="8" spans="1:16" ht="24" customHeight="1" x14ac:dyDescent="0.3">
      <c r="B8" s="2" t="s">
        <v>12</v>
      </c>
      <c r="C8" s="2" t="s">
        <v>13</v>
      </c>
      <c r="D8" s="2" t="s">
        <v>14</v>
      </c>
    </row>
    <row r="9" spans="1:16" ht="24" customHeight="1" x14ac:dyDescent="0.3">
      <c r="B9" s="3" t="s">
        <v>15</v>
      </c>
      <c r="C9" s="3" t="s">
        <v>16</v>
      </c>
      <c r="D9" s="3" t="s">
        <v>17</v>
      </c>
    </row>
    <row r="10" spans="1:16" ht="24" customHeight="1" x14ac:dyDescent="0.3">
      <c r="B10" s="2" t="s">
        <v>18</v>
      </c>
      <c r="C10" s="2" t="s">
        <v>19</v>
      </c>
      <c r="D10" s="2" t="s">
        <v>20</v>
      </c>
    </row>
    <row r="11" spans="1:16" ht="24" customHeight="1" x14ac:dyDescent="0.3">
      <c r="B11" s="3" t="s">
        <v>21</v>
      </c>
      <c r="C11" s="3" t="s">
        <v>22</v>
      </c>
      <c r="D11" s="3" t="s">
        <v>23</v>
      </c>
    </row>
    <row r="12" spans="1:16" ht="24" customHeight="1" x14ac:dyDescent="0.3">
      <c r="B12" s="2" t="s">
        <v>24</v>
      </c>
      <c r="C12" s="2" t="s">
        <v>25</v>
      </c>
      <c r="D12" s="2" t="s">
        <v>26</v>
      </c>
    </row>
    <row r="13" spans="1:16" ht="24" customHeight="1" x14ac:dyDescent="0.3">
      <c r="B13" s="3" t="s">
        <v>27</v>
      </c>
      <c r="C13" s="3" t="s">
        <v>28</v>
      </c>
      <c r="D13" s="3" t="s">
        <v>29</v>
      </c>
    </row>
    <row r="14" spans="1:16" ht="24" customHeight="1" x14ac:dyDescent="0.3">
      <c r="B14" s="2" t="s">
        <v>30</v>
      </c>
      <c r="C14" s="2" t="s">
        <v>31</v>
      </c>
      <c r="D14" s="2" t="s">
        <v>32</v>
      </c>
    </row>
    <row r="15" spans="1:16" ht="24" customHeight="1" x14ac:dyDescent="0.3">
      <c r="B15" s="3" t="s">
        <v>33</v>
      </c>
      <c r="C15" s="3" t="s">
        <v>34</v>
      </c>
      <c r="D15" s="3" t="s">
        <v>35</v>
      </c>
    </row>
    <row r="16" spans="1:16" ht="24" customHeight="1" x14ac:dyDescent="0.3">
      <c r="B16" s="2" t="s">
        <v>36</v>
      </c>
      <c r="C16" s="2" t="s">
        <v>37</v>
      </c>
      <c r="D16" s="2" t="s">
        <v>38</v>
      </c>
    </row>
    <row r="17" spans="1:16" ht="24" customHeight="1" x14ac:dyDescent="0.3">
      <c r="B17" s="3" t="s">
        <v>39</v>
      </c>
      <c r="C17" s="3" t="s">
        <v>40</v>
      </c>
      <c r="D17" s="3" t="s">
        <v>41</v>
      </c>
    </row>
    <row r="18" spans="1:16" ht="24" customHeight="1" x14ac:dyDescent="0.3">
      <c r="B18" s="2" t="s">
        <v>42</v>
      </c>
      <c r="C18" s="2" t="s">
        <v>43</v>
      </c>
      <c r="D18" s="2" t="s">
        <v>44</v>
      </c>
    </row>
    <row r="20" spans="1:16" ht="28.05" customHeight="1" x14ac:dyDescent="0.3">
      <c r="A20" s="80" t="s">
        <v>45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 spans="1:16" ht="24" customHeight="1" x14ac:dyDescent="0.3">
      <c r="B21" s="87" t="s">
        <v>46</v>
      </c>
      <c r="C21" s="77"/>
      <c r="D21" s="77"/>
      <c r="E21" s="85" t="s">
        <v>47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</row>
    <row r="22" spans="1:16" ht="24" customHeight="1" x14ac:dyDescent="0.3">
      <c r="B22" s="86" t="s">
        <v>48</v>
      </c>
      <c r="C22" s="77"/>
      <c r="D22" s="77"/>
      <c r="E22" s="85" t="s">
        <v>49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</row>
    <row r="23" spans="1:16" ht="24" customHeight="1" x14ac:dyDescent="0.3">
      <c r="B23" s="79" t="s">
        <v>50</v>
      </c>
      <c r="C23" s="77"/>
      <c r="D23" s="77"/>
      <c r="E23" s="85" t="s">
        <v>51</v>
      </c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</row>
    <row r="25" spans="1:16" ht="28.05" customHeight="1" x14ac:dyDescent="0.3">
      <c r="A25" s="80" t="s">
        <v>52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 spans="1:16" ht="36" customHeight="1" x14ac:dyDescent="0.3">
      <c r="B26" s="82" t="s">
        <v>53</v>
      </c>
      <c r="C26" s="77"/>
      <c r="D26" s="77"/>
      <c r="E26" s="78" t="s">
        <v>54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</row>
    <row r="27" spans="1:16" ht="36" customHeight="1" x14ac:dyDescent="0.3">
      <c r="B27" s="82" t="s">
        <v>55</v>
      </c>
      <c r="C27" s="77"/>
      <c r="D27" s="77"/>
      <c r="E27" s="78" t="s">
        <v>56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</row>
    <row r="28" spans="1:16" ht="36" customHeight="1" x14ac:dyDescent="0.3">
      <c r="B28" s="82" t="s">
        <v>57</v>
      </c>
      <c r="C28" s="77"/>
      <c r="D28" s="77"/>
      <c r="E28" s="78" t="s">
        <v>58</v>
      </c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</row>
    <row r="29" spans="1:16" ht="36" customHeight="1" x14ac:dyDescent="0.3">
      <c r="B29" s="82" t="s">
        <v>59</v>
      </c>
      <c r="C29" s="77"/>
      <c r="D29" s="77"/>
      <c r="E29" s="78" t="s">
        <v>60</v>
      </c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</row>
    <row r="30" spans="1:16" ht="36" customHeight="1" x14ac:dyDescent="0.3">
      <c r="B30" s="82" t="s">
        <v>61</v>
      </c>
      <c r="C30" s="77"/>
      <c r="D30" s="77"/>
      <c r="E30" s="78" t="s">
        <v>62</v>
      </c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</row>
    <row r="31" spans="1:16" ht="36" customHeight="1" x14ac:dyDescent="0.3">
      <c r="B31" s="82" t="s">
        <v>63</v>
      </c>
      <c r="C31" s="77"/>
      <c r="D31" s="77"/>
      <c r="E31" s="78" t="s">
        <v>64</v>
      </c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</row>
    <row r="32" spans="1:16" ht="36" customHeight="1" x14ac:dyDescent="0.3">
      <c r="B32" s="82" t="s">
        <v>65</v>
      </c>
      <c r="C32" s="77"/>
      <c r="D32" s="77"/>
      <c r="E32" s="78" t="s">
        <v>66</v>
      </c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</row>
    <row r="33" spans="1:16" ht="36" customHeight="1" x14ac:dyDescent="0.3">
      <c r="B33" s="82" t="s">
        <v>67</v>
      </c>
      <c r="C33" s="77"/>
      <c r="D33" s="77"/>
      <c r="E33" s="78" t="s">
        <v>68</v>
      </c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</row>
    <row r="34" spans="1:16" ht="36" customHeight="1" x14ac:dyDescent="0.3">
      <c r="B34" s="82" t="s">
        <v>69</v>
      </c>
      <c r="C34" s="77"/>
      <c r="D34" s="77"/>
      <c r="E34" s="78" t="s">
        <v>70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</row>
    <row r="35" spans="1:16" ht="36" customHeight="1" x14ac:dyDescent="0.3">
      <c r="B35" s="82" t="s">
        <v>71</v>
      </c>
      <c r="C35" s="77"/>
      <c r="D35" s="77"/>
      <c r="E35" s="78" t="s">
        <v>72</v>
      </c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</row>
    <row r="37" spans="1:16" ht="28.05" customHeight="1" x14ac:dyDescent="0.3">
      <c r="A37" s="80" t="s">
        <v>73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</row>
    <row r="38" spans="1:16" ht="19.95" customHeight="1" x14ac:dyDescent="0.3">
      <c r="B38" s="76" t="s">
        <v>74</v>
      </c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</row>
    <row r="39" spans="1:16" ht="19.95" customHeight="1" x14ac:dyDescent="0.3">
      <c r="B39" s="76" t="s">
        <v>75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</row>
    <row r="40" spans="1:16" ht="19.95" customHeight="1" x14ac:dyDescent="0.3">
      <c r="B40" s="76" t="s">
        <v>76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</row>
    <row r="41" spans="1:16" ht="19.95" customHeight="1" x14ac:dyDescent="0.3">
      <c r="B41" s="76" t="s">
        <v>77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</row>
    <row r="42" spans="1:16" ht="19.95" customHeight="1" x14ac:dyDescent="0.3">
      <c r="B42" s="76" t="s">
        <v>78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</row>
    <row r="43" spans="1:16" ht="19.95" customHeight="1" x14ac:dyDescent="0.3">
      <c r="B43" s="76" t="s">
        <v>79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</row>
    <row r="44" spans="1:16" ht="19.95" customHeight="1" x14ac:dyDescent="0.3">
      <c r="B44" s="76" t="s">
        <v>80</v>
      </c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</row>
    <row r="45" spans="1:16" ht="19.95" customHeight="1" x14ac:dyDescent="0.3">
      <c r="B45" s="76" t="s">
        <v>81</v>
      </c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</row>
    <row r="46" spans="1:16" ht="19.95" customHeight="1" x14ac:dyDescent="0.3">
      <c r="B46" s="76" t="s">
        <v>82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</row>
    <row r="47" spans="1:16" ht="19.95" customHeight="1" x14ac:dyDescent="0.3">
      <c r="B47" s="76" t="s">
        <v>83</v>
      </c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</row>
    <row r="48" spans="1:16" ht="19.95" customHeight="1" x14ac:dyDescent="0.3">
      <c r="B48" s="76" t="s">
        <v>84</v>
      </c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</row>
    <row r="49" spans="2:16" ht="19.95" customHeight="1" x14ac:dyDescent="0.3">
      <c r="B49" s="76" t="s">
        <v>85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</row>
    <row r="50" spans="2:16" ht="19.95" customHeight="1" x14ac:dyDescent="0.3">
      <c r="B50" s="76" t="s">
        <v>86</v>
      </c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</row>
    <row r="51" spans="2:16" ht="19.95" customHeight="1" x14ac:dyDescent="0.3">
      <c r="B51" s="76" t="s">
        <v>87</v>
      </c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</row>
    <row r="52" spans="2:16" ht="19.95" customHeight="1" x14ac:dyDescent="0.3">
      <c r="B52" s="76" t="s">
        <v>88</v>
      </c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</row>
    <row r="53" spans="2:16" ht="19.95" customHeight="1" x14ac:dyDescent="0.3">
      <c r="B53" s="76" t="s">
        <v>89</v>
      </c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</row>
    <row r="54" spans="2:16" ht="19.95" customHeight="1" x14ac:dyDescent="0.3">
      <c r="B54" s="76" t="s">
        <v>90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</row>
    <row r="55" spans="2:16" ht="19.95" customHeight="1" x14ac:dyDescent="0.3">
      <c r="B55" s="76" t="s">
        <v>91</v>
      </c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</row>
    <row r="56" spans="2:16" ht="19.95" customHeight="1" x14ac:dyDescent="0.3">
      <c r="B56" s="76" t="s">
        <v>92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</row>
    <row r="57" spans="2:16" ht="19.95" customHeight="1" x14ac:dyDescent="0.3">
      <c r="B57" s="76" t="s">
        <v>93</v>
      </c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</row>
    <row r="58" spans="2:16" ht="19.95" customHeight="1" x14ac:dyDescent="0.3">
      <c r="B58" s="76" t="s">
        <v>94</v>
      </c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</row>
    <row r="59" spans="2:16" ht="19.95" customHeight="1" x14ac:dyDescent="0.3">
      <c r="B59" s="76" t="s">
        <v>95</v>
      </c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</row>
    <row r="60" spans="2:16" ht="19.95" customHeight="1" x14ac:dyDescent="0.3">
      <c r="B60" s="76" t="s">
        <v>96</v>
      </c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</row>
    <row r="61" spans="2:16" ht="19.95" customHeight="1" x14ac:dyDescent="0.3">
      <c r="B61" s="76" t="s">
        <v>97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</row>
    <row r="62" spans="2:16" ht="19.95" customHeight="1" x14ac:dyDescent="0.3">
      <c r="B62" s="76" t="s">
        <v>98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</row>
  </sheetData>
  <mergeCells count="57">
    <mergeCell ref="B62:P62"/>
    <mergeCell ref="B47:P47"/>
    <mergeCell ref="B54:P54"/>
    <mergeCell ref="B31:D31"/>
    <mergeCell ref="B22:D22"/>
    <mergeCell ref="E33:P33"/>
    <mergeCell ref="A37:P37"/>
    <mergeCell ref="B59:P59"/>
    <mergeCell ref="E23:P23"/>
    <mergeCell ref="B27:D27"/>
    <mergeCell ref="B46:P46"/>
    <mergeCell ref="B56:P56"/>
    <mergeCell ref="B52:P52"/>
    <mergeCell ref="B58:P58"/>
    <mergeCell ref="E29:P29"/>
    <mergeCell ref="A1:P1"/>
    <mergeCell ref="A2:P2"/>
    <mergeCell ref="B32:D32"/>
    <mergeCell ref="B35:D35"/>
    <mergeCell ref="B26:D26"/>
    <mergeCell ref="E22:P22"/>
    <mergeCell ref="A25:P25"/>
    <mergeCell ref="E21:P21"/>
    <mergeCell ref="B21:D21"/>
    <mergeCell ref="B49:P49"/>
    <mergeCell ref="E26:P26"/>
    <mergeCell ref="B40:P40"/>
    <mergeCell ref="B33:D33"/>
    <mergeCell ref="B55:P55"/>
    <mergeCell ref="E32:P32"/>
    <mergeCell ref="B51:P51"/>
    <mergeCell ref="B45:P45"/>
    <mergeCell ref="B41:P41"/>
    <mergeCell ref="B50:P50"/>
    <mergeCell ref="B60:P60"/>
    <mergeCell ref="B61:P61"/>
    <mergeCell ref="E31:P31"/>
    <mergeCell ref="A4:P4"/>
    <mergeCell ref="B57:P57"/>
    <mergeCell ref="A20:P20"/>
    <mergeCell ref="B29:D29"/>
    <mergeCell ref="E30:P30"/>
    <mergeCell ref="B44:P44"/>
    <mergeCell ref="B34:D34"/>
    <mergeCell ref="B53:P53"/>
    <mergeCell ref="B28:D28"/>
    <mergeCell ref="E34:P34"/>
    <mergeCell ref="E35:P35"/>
    <mergeCell ref="B38:P38"/>
    <mergeCell ref="E27:P27"/>
    <mergeCell ref="B43:P43"/>
    <mergeCell ref="B39:P39"/>
    <mergeCell ref="B48:P48"/>
    <mergeCell ref="E28:P28"/>
    <mergeCell ref="B23:D23"/>
    <mergeCell ref="B42:P42"/>
    <mergeCell ref="B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N68"/>
  <sheetViews>
    <sheetView showGridLines="0" topLeftCell="A44" workbookViewId="0">
      <selection activeCell="G61" sqref="G61"/>
    </sheetView>
  </sheetViews>
  <sheetFormatPr defaultRowHeight="14.4" x14ac:dyDescent="0.3"/>
  <cols>
    <col min="1" max="2" width="4" customWidth="1"/>
    <col min="3" max="3" width="27.88671875" bestFit="1" customWidth="1"/>
    <col min="4" max="4" width="14.109375" bestFit="1" customWidth="1"/>
    <col min="5" max="5" width="33.21875" bestFit="1" customWidth="1"/>
    <col min="6" max="6" width="12.6640625" bestFit="1" customWidth="1"/>
    <col min="7" max="7" width="16.33203125" bestFit="1" customWidth="1"/>
    <col min="8" max="8" width="13.33203125" bestFit="1" customWidth="1"/>
    <col min="9" max="9" width="12.44140625" bestFit="1" customWidth="1"/>
  </cols>
  <sheetData>
    <row r="1" spans="1:14" ht="23.4" x14ac:dyDescent="0.3">
      <c r="A1" s="83" t="s">
        <v>99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 x14ac:dyDescent="0.3">
      <c r="A2" s="84" t="s">
        <v>100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4" spans="1:14" x14ac:dyDescent="0.3">
      <c r="A4" s="80" t="s">
        <v>101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</row>
    <row r="5" spans="1:14" x14ac:dyDescent="0.3">
      <c r="C5" s="4" t="s">
        <v>102</v>
      </c>
      <c r="D5" s="5">
        <v>0.1</v>
      </c>
      <c r="E5" s="6" t="s">
        <v>103</v>
      </c>
    </row>
    <row r="6" spans="1:14" x14ac:dyDescent="0.3">
      <c r="C6" s="4" t="s">
        <v>104</v>
      </c>
      <c r="D6" s="5">
        <v>0.25</v>
      </c>
      <c r="E6" s="6" t="s">
        <v>105</v>
      </c>
    </row>
    <row r="7" spans="1:14" x14ac:dyDescent="0.3">
      <c r="C7" s="4" t="s">
        <v>106</v>
      </c>
      <c r="D7" s="7" t="s">
        <v>107</v>
      </c>
      <c r="E7" s="6" t="s">
        <v>108</v>
      </c>
    </row>
    <row r="8" spans="1:14" x14ac:dyDescent="0.3">
      <c r="C8" s="4" t="s">
        <v>109</v>
      </c>
      <c r="D8" s="8">
        <v>15</v>
      </c>
      <c r="E8" s="6" t="s">
        <v>110</v>
      </c>
    </row>
    <row r="9" spans="1:14" x14ac:dyDescent="0.3">
      <c r="C9" s="4" t="s">
        <v>111</v>
      </c>
      <c r="D9" s="5">
        <v>6.5000000000000002E-2</v>
      </c>
      <c r="E9" s="6" t="s">
        <v>112</v>
      </c>
    </row>
    <row r="10" spans="1:14" x14ac:dyDescent="0.3">
      <c r="C10" s="4" t="s">
        <v>113</v>
      </c>
      <c r="D10" s="9">
        <v>2026</v>
      </c>
      <c r="E10" s="6" t="s">
        <v>114</v>
      </c>
    </row>
    <row r="11" spans="1:14" x14ac:dyDescent="0.3">
      <c r="C11" s="4" t="s">
        <v>115</v>
      </c>
      <c r="D11" s="5">
        <v>7.0000000000000007E-2</v>
      </c>
      <c r="E11" s="6" t="s">
        <v>116</v>
      </c>
    </row>
    <row r="12" spans="1:14" x14ac:dyDescent="0.3">
      <c r="C12" s="4" t="s">
        <v>117</v>
      </c>
      <c r="D12" s="10">
        <v>50000</v>
      </c>
      <c r="E12" s="6" t="s">
        <v>118</v>
      </c>
    </row>
    <row r="13" spans="1:14" x14ac:dyDescent="0.3">
      <c r="C13" s="4" t="s">
        <v>119</v>
      </c>
      <c r="D13" s="8">
        <v>12</v>
      </c>
      <c r="E13" s="6" t="s">
        <v>120</v>
      </c>
    </row>
    <row r="14" spans="1:14" x14ac:dyDescent="0.3">
      <c r="C14" s="4" t="s">
        <v>121</v>
      </c>
      <c r="D14" s="8">
        <v>45</v>
      </c>
      <c r="E14" s="6" t="s">
        <v>122</v>
      </c>
    </row>
    <row r="15" spans="1:14" x14ac:dyDescent="0.3">
      <c r="C15" s="4" t="s">
        <v>123</v>
      </c>
      <c r="D15" s="8">
        <v>35</v>
      </c>
      <c r="E15" s="6" t="s">
        <v>124</v>
      </c>
    </row>
    <row r="16" spans="1:14" x14ac:dyDescent="0.3">
      <c r="C16" s="4" t="s">
        <v>125</v>
      </c>
      <c r="D16" s="8">
        <v>60</v>
      </c>
      <c r="E16" s="6" t="s">
        <v>126</v>
      </c>
    </row>
    <row r="17" spans="1:14" x14ac:dyDescent="0.3">
      <c r="C17" s="4" t="s">
        <v>127</v>
      </c>
      <c r="D17" s="10">
        <v>1800000</v>
      </c>
      <c r="E17" s="6" t="s">
        <v>128</v>
      </c>
    </row>
    <row r="18" spans="1:14" ht="28.8" x14ac:dyDescent="0.3">
      <c r="C18" s="4" t="s">
        <v>129</v>
      </c>
      <c r="D18" s="7" t="s">
        <v>130</v>
      </c>
    </row>
    <row r="20" spans="1:14" x14ac:dyDescent="0.3">
      <c r="A20" s="80" t="s">
        <v>131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</row>
    <row r="21" spans="1:14" x14ac:dyDescent="0.3">
      <c r="C21" s="1" t="s">
        <v>132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137</v>
      </c>
      <c r="I21" s="1" t="s">
        <v>138</v>
      </c>
    </row>
    <row r="22" spans="1:14" x14ac:dyDescent="0.3">
      <c r="C22" s="11" t="s">
        <v>139</v>
      </c>
      <c r="D22" s="12">
        <v>1.1499999999999999</v>
      </c>
      <c r="E22" s="13"/>
      <c r="F22" s="13"/>
      <c r="G22" s="14">
        <f>IF(E22="",$D$5,E22)</f>
        <v>0.1</v>
      </c>
      <c r="H22" s="14">
        <f>IF(F22="",$D$6,F22)</f>
        <v>0.25</v>
      </c>
      <c r="I22" s="15" t="s">
        <v>140</v>
      </c>
    </row>
    <row r="23" spans="1:14" x14ac:dyDescent="0.3">
      <c r="C23" s="16" t="s">
        <v>141</v>
      </c>
      <c r="D23" s="12">
        <v>1.07</v>
      </c>
      <c r="E23" s="13"/>
      <c r="F23" s="13"/>
      <c r="G23" s="14">
        <f>IF(E23="",$D$5,E23)</f>
        <v>0.1</v>
      </c>
      <c r="H23" s="14">
        <f>IF(F23="",$D$6,F23)</f>
        <v>0.25</v>
      </c>
      <c r="I23" s="15" t="s">
        <v>142</v>
      </c>
    </row>
    <row r="24" spans="1:14" x14ac:dyDescent="0.3">
      <c r="C24" s="11" t="s">
        <v>143</v>
      </c>
      <c r="D24" s="12">
        <v>1</v>
      </c>
      <c r="E24" s="13"/>
      <c r="F24" s="13"/>
      <c r="G24" s="14">
        <f>IF(E24="",$D$5,E24)</f>
        <v>0.1</v>
      </c>
      <c r="H24" s="14">
        <f>IF(F24="",$D$6,F24)</f>
        <v>0.25</v>
      </c>
      <c r="I24" s="15" t="s">
        <v>144</v>
      </c>
    </row>
    <row r="25" spans="1:14" x14ac:dyDescent="0.3">
      <c r="C25" s="16" t="s">
        <v>145</v>
      </c>
      <c r="D25" s="12">
        <v>0.9</v>
      </c>
      <c r="E25" s="13"/>
      <c r="F25" s="13"/>
      <c r="G25" s="14">
        <f>IF(E25="",$D$5,E25)</f>
        <v>0.1</v>
      </c>
      <c r="H25" s="14">
        <f>IF(F25="",$D$6,F25)</f>
        <v>0.25</v>
      </c>
      <c r="I25" s="15" t="s">
        <v>146</v>
      </c>
    </row>
    <row r="26" spans="1:14" x14ac:dyDescent="0.3">
      <c r="C26" s="11" t="s">
        <v>147</v>
      </c>
      <c r="D26" s="12">
        <v>0.8</v>
      </c>
      <c r="E26" s="13"/>
      <c r="F26" s="13"/>
      <c r="G26" s="14">
        <f>IF(E26="",$D$5,E26)</f>
        <v>0.1</v>
      </c>
      <c r="H26" s="14">
        <f>IF(F26="",$D$6,F26)</f>
        <v>0.25</v>
      </c>
      <c r="I26" s="15" t="s">
        <v>148</v>
      </c>
    </row>
    <row r="29" spans="1:14" x14ac:dyDescent="0.3">
      <c r="A29" s="80" t="s">
        <v>149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</row>
    <row r="30" spans="1:14" x14ac:dyDescent="0.3">
      <c r="C30" s="1" t="s">
        <v>150</v>
      </c>
      <c r="D30" s="1" t="s">
        <v>151</v>
      </c>
      <c r="E30" s="1" t="s">
        <v>152</v>
      </c>
      <c r="F30" s="1" t="s">
        <v>153</v>
      </c>
      <c r="G30" s="1" t="s">
        <v>154</v>
      </c>
      <c r="H30" s="1" t="s">
        <v>155</v>
      </c>
      <c r="I30" s="1" t="s">
        <v>156</v>
      </c>
    </row>
    <row r="31" spans="1:14" x14ac:dyDescent="0.3">
      <c r="C31" s="11" t="s">
        <v>157</v>
      </c>
      <c r="D31" s="17" t="s">
        <v>158</v>
      </c>
      <c r="E31" s="17" t="s">
        <v>158</v>
      </c>
      <c r="F31" s="13">
        <v>0.12</v>
      </c>
      <c r="G31" s="18" t="s">
        <v>159</v>
      </c>
      <c r="H31" s="18">
        <v>7</v>
      </c>
      <c r="I31" s="18" t="s">
        <v>160</v>
      </c>
    </row>
    <row r="32" spans="1:14" x14ac:dyDescent="0.3">
      <c r="C32" s="16" t="s">
        <v>161</v>
      </c>
      <c r="D32" s="17" t="s">
        <v>158</v>
      </c>
      <c r="E32" s="17" t="s">
        <v>158</v>
      </c>
      <c r="F32" s="13">
        <v>0.12</v>
      </c>
      <c r="G32" s="18" t="s">
        <v>162</v>
      </c>
      <c r="H32" s="18">
        <v>8</v>
      </c>
      <c r="I32" s="18" t="s">
        <v>160</v>
      </c>
    </row>
    <row r="33" spans="1:14" x14ac:dyDescent="0.3">
      <c r="C33" s="11" t="s">
        <v>163</v>
      </c>
      <c r="D33" s="17" t="s">
        <v>164</v>
      </c>
      <c r="E33" s="17" t="s">
        <v>164</v>
      </c>
      <c r="F33" s="13">
        <v>6.5000000000000002E-2</v>
      </c>
      <c r="G33" s="18" t="s">
        <v>165</v>
      </c>
      <c r="H33" s="18">
        <v>2</v>
      </c>
      <c r="I33" s="18" t="s">
        <v>166</v>
      </c>
    </row>
    <row r="34" spans="1:14" x14ac:dyDescent="0.3">
      <c r="C34" s="16" t="s">
        <v>167</v>
      </c>
      <c r="D34" s="17" t="s">
        <v>164</v>
      </c>
      <c r="E34" s="17" t="s">
        <v>164</v>
      </c>
      <c r="F34" s="13">
        <v>6.5000000000000002E-2</v>
      </c>
      <c r="G34" s="18" t="s">
        <v>165</v>
      </c>
      <c r="H34" s="18">
        <v>2</v>
      </c>
      <c r="I34" s="18" t="s">
        <v>166</v>
      </c>
    </row>
    <row r="35" spans="1:14" x14ac:dyDescent="0.3">
      <c r="C35" s="11" t="s">
        <v>168</v>
      </c>
      <c r="D35" s="17" t="s">
        <v>169</v>
      </c>
      <c r="E35" s="17" t="s">
        <v>164</v>
      </c>
      <c r="F35" s="13">
        <v>8.1000000000000003E-2</v>
      </c>
      <c r="G35" s="18" t="s">
        <v>162</v>
      </c>
      <c r="H35" s="18">
        <v>1</v>
      </c>
      <c r="I35" s="18" t="s">
        <v>170</v>
      </c>
    </row>
    <row r="36" spans="1:14" x14ac:dyDescent="0.3">
      <c r="C36" s="16" t="s">
        <v>171</v>
      </c>
      <c r="D36" s="17" t="s">
        <v>169</v>
      </c>
      <c r="E36" s="17" t="s">
        <v>164</v>
      </c>
      <c r="F36" s="13">
        <v>7.0999999999999994E-2</v>
      </c>
      <c r="G36" s="18" t="s">
        <v>162</v>
      </c>
      <c r="H36" s="18">
        <v>1</v>
      </c>
      <c r="I36" s="18" t="s">
        <v>170</v>
      </c>
    </row>
    <row r="37" spans="1:14" x14ac:dyDescent="0.3">
      <c r="C37" s="11" t="s">
        <v>172</v>
      </c>
      <c r="D37" s="17" t="s">
        <v>169</v>
      </c>
      <c r="E37" s="17" t="s">
        <v>158</v>
      </c>
      <c r="F37" s="13">
        <v>0.1</v>
      </c>
      <c r="G37" s="18" t="s">
        <v>162</v>
      </c>
      <c r="H37" s="18">
        <v>5</v>
      </c>
      <c r="I37" s="18" t="s">
        <v>173</v>
      </c>
    </row>
    <row r="38" spans="1:14" x14ac:dyDescent="0.3">
      <c r="C38" s="16" t="s">
        <v>174</v>
      </c>
      <c r="D38" s="17" t="s">
        <v>175</v>
      </c>
      <c r="E38" s="17" t="s">
        <v>164</v>
      </c>
      <c r="F38" s="13">
        <v>0.04</v>
      </c>
      <c r="G38" s="18" t="s">
        <v>165</v>
      </c>
      <c r="H38" s="18">
        <v>1</v>
      </c>
      <c r="I38" s="18" t="s">
        <v>170</v>
      </c>
    </row>
    <row r="39" spans="1:14" x14ac:dyDescent="0.3">
      <c r="C39" s="11" t="s">
        <v>176</v>
      </c>
      <c r="D39" s="17" t="s">
        <v>177</v>
      </c>
      <c r="E39" s="17" t="s">
        <v>178</v>
      </c>
      <c r="F39" s="13">
        <v>0.08</v>
      </c>
      <c r="G39" s="18" t="s">
        <v>162</v>
      </c>
      <c r="H39" s="18">
        <v>4</v>
      </c>
      <c r="I39" s="18" t="s">
        <v>173</v>
      </c>
    </row>
    <row r="40" spans="1:14" x14ac:dyDescent="0.3">
      <c r="C40" s="16" t="s">
        <v>179</v>
      </c>
      <c r="D40" s="17" t="s">
        <v>177</v>
      </c>
      <c r="E40" s="17" t="s">
        <v>178</v>
      </c>
      <c r="F40" s="13">
        <v>7.0000000000000007E-2</v>
      </c>
      <c r="G40" s="18" t="s">
        <v>162</v>
      </c>
      <c r="H40" s="18">
        <v>5</v>
      </c>
      <c r="I40" s="18" t="s">
        <v>173</v>
      </c>
    </row>
    <row r="41" spans="1:14" x14ac:dyDescent="0.3">
      <c r="C41" s="11" t="s">
        <v>180</v>
      </c>
      <c r="D41" s="17" t="s">
        <v>177</v>
      </c>
      <c r="E41" s="17" t="s">
        <v>178</v>
      </c>
      <c r="F41" s="13">
        <v>0.1</v>
      </c>
      <c r="G41" s="18" t="s">
        <v>162</v>
      </c>
      <c r="H41" s="18">
        <v>6</v>
      </c>
      <c r="I41" s="18" t="s">
        <v>181</v>
      </c>
    </row>
    <row r="42" spans="1:14" x14ac:dyDescent="0.3">
      <c r="C42" s="16" t="s">
        <v>182</v>
      </c>
      <c r="D42" s="17" t="s">
        <v>183</v>
      </c>
      <c r="E42" s="17" t="s">
        <v>178</v>
      </c>
      <c r="F42" s="13">
        <v>0.15</v>
      </c>
      <c r="G42" s="18" t="s">
        <v>162</v>
      </c>
      <c r="H42" s="18">
        <v>10</v>
      </c>
      <c r="I42" s="18" t="s">
        <v>184</v>
      </c>
    </row>
    <row r="43" spans="1:14" x14ac:dyDescent="0.3">
      <c r="C43" s="11" t="s">
        <v>185</v>
      </c>
      <c r="D43" s="17" t="s">
        <v>178</v>
      </c>
      <c r="E43" s="17" t="s">
        <v>178</v>
      </c>
      <c r="F43" s="13">
        <v>0.06</v>
      </c>
      <c r="G43" s="18" t="s">
        <v>162</v>
      </c>
      <c r="H43" s="18">
        <v>5</v>
      </c>
      <c r="I43" s="18" t="s">
        <v>173</v>
      </c>
    </row>
    <row r="46" spans="1:14" x14ac:dyDescent="0.3">
      <c r="A46" s="80" t="s">
        <v>186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</row>
    <row r="47" spans="1:14" x14ac:dyDescent="0.3">
      <c r="C47" s="1" t="s">
        <v>187</v>
      </c>
      <c r="D47" s="1" t="s">
        <v>188</v>
      </c>
      <c r="E47" s="1" t="s">
        <v>189</v>
      </c>
      <c r="F47" s="1" t="s">
        <v>190</v>
      </c>
      <c r="G47" s="1" t="s">
        <v>138</v>
      </c>
    </row>
    <row r="48" spans="1:14" x14ac:dyDescent="0.3">
      <c r="C48" s="11" t="s">
        <v>191</v>
      </c>
      <c r="D48" s="19">
        <v>-0.52</v>
      </c>
      <c r="E48" s="19">
        <v>-0.05</v>
      </c>
      <c r="F48" s="20">
        <v>0.25</v>
      </c>
      <c r="G48" s="15" t="s">
        <v>192</v>
      </c>
    </row>
    <row r="49" spans="1:14" x14ac:dyDescent="0.3">
      <c r="C49" s="16" t="s">
        <v>193</v>
      </c>
      <c r="D49" s="19">
        <v>-0.38</v>
      </c>
      <c r="E49" s="19">
        <v>-0.02</v>
      </c>
      <c r="F49" s="20">
        <v>0.15</v>
      </c>
      <c r="G49" s="15" t="s">
        <v>194</v>
      </c>
    </row>
    <row r="50" spans="1:14" x14ac:dyDescent="0.3">
      <c r="C50" s="11" t="s">
        <v>195</v>
      </c>
      <c r="D50" s="19">
        <v>-0.25</v>
      </c>
      <c r="E50" s="19">
        <v>-0.08</v>
      </c>
      <c r="F50" s="19">
        <v>-0.1</v>
      </c>
      <c r="G50" s="15" t="s">
        <v>196</v>
      </c>
    </row>
    <row r="51" spans="1:14" x14ac:dyDescent="0.3">
      <c r="C51" s="16" t="s">
        <v>197</v>
      </c>
      <c r="D51" s="19">
        <v>-0.15</v>
      </c>
      <c r="E51" s="19">
        <v>-0.1</v>
      </c>
      <c r="F51" s="20">
        <v>0.2</v>
      </c>
      <c r="G51" s="15" t="s">
        <v>198</v>
      </c>
    </row>
    <row r="52" spans="1:14" x14ac:dyDescent="0.3">
      <c r="C52" s="11" t="s">
        <v>199</v>
      </c>
      <c r="D52" s="19">
        <v>-0.3</v>
      </c>
      <c r="E52" s="19">
        <v>-0.05</v>
      </c>
      <c r="F52" s="20">
        <v>0.1</v>
      </c>
      <c r="G52" s="15" t="s">
        <v>200</v>
      </c>
    </row>
    <row r="55" spans="1:14" x14ac:dyDescent="0.3">
      <c r="A55" s="80" t="s">
        <v>201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</row>
    <row r="56" spans="1:14" x14ac:dyDescent="0.3">
      <c r="C56" s="1" t="s">
        <v>152</v>
      </c>
      <c r="D56" s="1" t="s">
        <v>202</v>
      </c>
      <c r="E56" s="1" t="s">
        <v>203</v>
      </c>
    </row>
    <row r="57" spans="1:14" x14ac:dyDescent="0.3">
      <c r="C57" s="11" t="s">
        <v>158</v>
      </c>
      <c r="D57" s="21">
        <v>0.7</v>
      </c>
      <c r="E57" s="15" t="s">
        <v>204</v>
      </c>
    </row>
    <row r="58" spans="1:14" x14ac:dyDescent="0.3">
      <c r="C58" s="11" t="s">
        <v>164</v>
      </c>
      <c r="D58" s="21">
        <v>0.1</v>
      </c>
      <c r="E58" s="15" t="s">
        <v>204</v>
      </c>
    </row>
    <row r="59" spans="1:14" x14ac:dyDescent="0.3">
      <c r="C59" s="11" t="s">
        <v>178</v>
      </c>
      <c r="D59" s="21">
        <v>0.2</v>
      </c>
      <c r="E59" s="15" t="s">
        <v>204</v>
      </c>
    </row>
    <row r="62" spans="1:14" x14ac:dyDescent="0.3">
      <c r="A62" s="88" t="s">
        <v>205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</row>
    <row r="63" spans="1:14" x14ac:dyDescent="0.3">
      <c r="C63" s="4" t="s">
        <v>206</v>
      </c>
      <c r="D63" s="5">
        <v>0.1</v>
      </c>
      <c r="E63" s="6" t="s">
        <v>207</v>
      </c>
    </row>
    <row r="64" spans="1:14" x14ac:dyDescent="0.3">
      <c r="C64" s="4" t="s">
        <v>208</v>
      </c>
      <c r="D64" s="5">
        <v>0.12</v>
      </c>
      <c r="E64" s="6" t="s">
        <v>209</v>
      </c>
    </row>
    <row r="65" spans="3:5" x14ac:dyDescent="0.3">
      <c r="C65" s="4" t="s">
        <v>210</v>
      </c>
      <c r="D65" s="5">
        <v>0.03</v>
      </c>
      <c r="E65" s="6" t="s">
        <v>211</v>
      </c>
    </row>
    <row r="66" spans="3:5" x14ac:dyDescent="0.3">
      <c r="C66" s="4" t="s">
        <v>212</v>
      </c>
      <c r="D66" s="73">
        <v>-0.12</v>
      </c>
      <c r="E66" s="6" t="s">
        <v>213</v>
      </c>
    </row>
    <row r="67" spans="3:5" x14ac:dyDescent="0.3">
      <c r="C67" s="4" t="s">
        <v>214</v>
      </c>
      <c r="D67" s="73">
        <v>-7.0000000000000007E-2</v>
      </c>
      <c r="E67" s="6" t="s">
        <v>215</v>
      </c>
    </row>
    <row r="68" spans="3:5" x14ac:dyDescent="0.3">
      <c r="C68" s="4" t="s">
        <v>216</v>
      </c>
      <c r="D68" s="73">
        <v>0.05</v>
      </c>
      <c r="E68" s="6" t="s">
        <v>217</v>
      </c>
    </row>
  </sheetData>
  <mergeCells count="8">
    <mergeCell ref="A1:N1"/>
    <mergeCell ref="A55:N55"/>
    <mergeCell ref="A4:N4"/>
    <mergeCell ref="A62:N62"/>
    <mergeCell ref="A20:N20"/>
    <mergeCell ref="A2:N2"/>
    <mergeCell ref="A29:N29"/>
    <mergeCell ref="A46:N46"/>
  </mergeCells>
  <dataValidations count="5">
    <dataValidation type="list" sqref="D7" xr:uid="{00000000-0002-0000-0100-000000000000}">
      <formula1>"₹,Lakhs,Crores,Millions"</formula1>
    </dataValidation>
    <dataValidation type="list" sqref="D8" xr:uid="{00000000-0002-0000-0100-000001000000}">
      <formula1>"5,10,15,20,25,30"</formula1>
    </dataValidation>
    <dataValidation type="list" sqref="D31 D32 D33 D34 D35 D36 D37 D38 D39 D40 D41 D42 D43" xr:uid="{00000000-0002-0000-0100-000002000000}">
      <formula1>"Equity,Debt,Cash,Retirement,Real Asset,Alternative,Other"</formula1>
    </dataValidation>
    <dataValidation type="list" sqref="E31 E32 E33 E34 E35 E36 E37 E38 E39 E40 E41 E42 E43" xr:uid="{00000000-0002-0000-0100-000003000000}">
      <formula1>"Equity,Debt,Other"</formula1>
    </dataValidation>
    <dataValidation type="list" sqref="G31 G32 G33 G34 G35 G36 G37 G38 G39 G40 G41 G42 G43" xr:uid="{00000000-0002-0000-0100-000004000000}">
      <formula1>"Monthly,Quarterly,Half-Yearly,Annually"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96E"/>
  </sheetPr>
  <dimension ref="A1:AB28"/>
  <sheetViews>
    <sheetView showGridLines="0" workbookViewId="0">
      <selection activeCell="H30" sqref="H30"/>
    </sheetView>
  </sheetViews>
  <sheetFormatPr defaultRowHeight="14.4" x14ac:dyDescent="0.3"/>
  <cols>
    <col min="1" max="1" width="7.21875" bestFit="1" customWidth="1"/>
    <col min="2" max="2" width="11.21875" bestFit="1" customWidth="1"/>
    <col min="3" max="3" width="13.6640625" bestFit="1" customWidth="1"/>
    <col min="4" max="4" width="17.33203125" bestFit="1" customWidth="1"/>
    <col min="5" max="5" width="12.33203125" bestFit="1" customWidth="1"/>
    <col min="6" max="6" width="14.109375" bestFit="1" customWidth="1"/>
    <col min="7" max="7" width="10.88671875" bestFit="1" customWidth="1"/>
    <col min="8" max="8" width="16.88671875" bestFit="1" customWidth="1"/>
    <col min="9" max="9" width="16.33203125" bestFit="1" customWidth="1"/>
    <col min="10" max="10" width="12.109375" bestFit="1" customWidth="1"/>
    <col min="11" max="11" width="12.6640625" bestFit="1" customWidth="1"/>
    <col min="12" max="13" width="13.33203125" bestFit="1" customWidth="1"/>
    <col min="14" max="14" width="13.5546875" bestFit="1" customWidth="1"/>
    <col min="15" max="15" width="16.33203125" bestFit="1" customWidth="1"/>
    <col min="16" max="16" width="13.77734375" bestFit="1" customWidth="1"/>
    <col min="17" max="17" width="11" bestFit="1" customWidth="1"/>
    <col min="18" max="18" width="8.77734375" bestFit="1" customWidth="1"/>
    <col min="19" max="19" width="14.5546875" bestFit="1" customWidth="1"/>
    <col min="20" max="20" width="15.109375" bestFit="1" customWidth="1"/>
    <col min="21" max="21" width="11.5546875" bestFit="1" customWidth="1"/>
    <col min="22" max="22" width="14.21875" bestFit="1" customWidth="1"/>
    <col min="23" max="23" width="12.33203125" bestFit="1" customWidth="1"/>
    <col min="24" max="24" width="13.44140625" bestFit="1" customWidth="1"/>
    <col min="25" max="25" width="11.5546875" bestFit="1" customWidth="1"/>
    <col min="26" max="26" width="11" customWidth="1"/>
    <col min="27" max="27" width="9" bestFit="1" customWidth="1"/>
    <col min="28" max="28" width="11.5546875" bestFit="1" customWidth="1"/>
  </cols>
  <sheetData>
    <row r="1" spans="1:28" ht="23.4" x14ac:dyDescent="0.3">
      <c r="A1" s="83" t="s">
        <v>218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spans="1:28" x14ac:dyDescent="0.3">
      <c r="A2" s="84" t="s">
        <v>219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</row>
    <row r="3" spans="1:28" x14ac:dyDescent="0.3">
      <c r="A3" s="79" t="s">
        <v>220</v>
      </c>
      <c r="B3" s="77"/>
      <c r="C3" s="77"/>
      <c r="D3" s="77"/>
      <c r="E3" s="77"/>
      <c r="F3" s="77"/>
      <c r="G3" s="77"/>
      <c r="H3" s="77"/>
      <c r="I3" s="77"/>
      <c r="J3" s="77"/>
    </row>
    <row r="4" spans="1:28" x14ac:dyDescent="0.3">
      <c r="A4" s="89" t="s">
        <v>221</v>
      </c>
      <c r="B4" s="77"/>
      <c r="C4" s="155">
        <f>SUMPRODUCT((B9:B28="Yes")*I9:I28)</f>
        <v>4115000</v>
      </c>
      <c r="E4" s="89" t="s">
        <v>222</v>
      </c>
      <c r="F4" s="77"/>
      <c r="G4" s="155">
        <f>SUMPRODUCT((B9:B28="Yes")*(G9:G28="Equity")*J9:J28)</f>
        <v>17000</v>
      </c>
      <c r="H4" s="89" t="s">
        <v>223</v>
      </c>
      <c r="I4" s="77"/>
      <c r="J4" s="157">
        <f>IF(SUMPRODUCT((B9:B28="Yes")*I9:I28)=0,0,SUMPRODUCT((B9:B28="Yes")*I9:I28*X9:X28)/SUMPRODUCT((B9:B28="Yes")*I9:I28))</f>
        <v>5.286755771567436</v>
      </c>
    </row>
    <row r="5" spans="1:28" x14ac:dyDescent="0.3">
      <c r="A5" s="89" t="s">
        <v>224</v>
      </c>
      <c r="B5" s="77"/>
      <c r="C5" s="155">
        <f>SUMPRODUCT((B9:B28="Yes")*(H9:H28="Recurring")*J9:J28)</f>
        <v>27000</v>
      </c>
      <c r="E5" s="89" t="s">
        <v>225</v>
      </c>
      <c r="F5" s="77"/>
      <c r="G5" s="155">
        <f>SUMPRODUCT((B9:B28="Yes")*(G9:G28="Debt")*J9:J28)</f>
        <v>10000</v>
      </c>
      <c r="H5" s="89" t="s">
        <v>226</v>
      </c>
      <c r="I5" s="77"/>
      <c r="J5" s="156">
        <f>IF(SUMPRODUCT((B9:B28="Yes")*I9:I28)=0,0,MAX(I9:I28)/SUMPRODUCT((B9:B28="Yes")*I9:I28))</f>
        <v>0.48602673147023084</v>
      </c>
    </row>
    <row r="6" spans="1:28" x14ac:dyDescent="0.3">
      <c r="A6" s="89" t="s">
        <v>227</v>
      </c>
      <c r="B6" s="77"/>
      <c r="C6" s="154">
        <f>COUNTIF(B9:B28,"Yes")</f>
        <v>12</v>
      </c>
      <c r="E6" s="89" t="s">
        <v>228</v>
      </c>
      <c r="F6" s="77"/>
      <c r="G6" s="155">
        <f>SUMPRODUCT((B9:B28="Yes")*(G9:G28="Other")*J9:J28)</f>
        <v>0</v>
      </c>
    </row>
    <row r="8" spans="1:28" x14ac:dyDescent="0.3">
      <c r="A8" s="1" t="s">
        <v>229</v>
      </c>
      <c r="B8" s="1" t="s">
        <v>230</v>
      </c>
      <c r="C8" s="1" t="s">
        <v>150</v>
      </c>
      <c r="D8" s="1" t="s">
        <v>231</v>
      </c>
      <c r="E8" s="1" t="s">
        <v>232</v>
      </c>
      <c r="F8" s="1" t="s">
        <v>151</v>
      </c>
      <c r="G8" s="1" t="s">
        <v>152</v>
      </c>
      <c r="H8" s="1" t="s">
        <v>233</v>
      </c>
      <c r="I8" s="1" t="s">
        <v>234</v>
      </c>
      <c r="J8" s="1" t="s">
        <v>159</v>
      </c>
      <c r="K8" s="1" t="s">
        <v>153</v>
      </c>
      <c r="L8" s="1" t="s">
        <v>235</v>
      </c>
      <c r="M8" s="1" t="s">
        <v>236</v>
      </c>
      <c r="N8" s="1" t="s">
        <v>237</v>
      </c>
      <c r="O8" s="1" t="s">
        <v>154</v>
      </c>
      <c r="P8" s="1" t="s">
        <v>238</v>
      </c>
      <c r="Q8" s="1" t="s">
        <v>239</v>
      </c>
      <c r="R8" s="1" t="s">
        <v>240</v>
      </c>
      <c r="S8" s="1" t="s">
        <v>241</v>
      </c>
      <c r="T8" s="1" t="s">
        <v>242</v>
      </c>
      <c r="U8" s="1" t="s">
        <v>243</v>
      </c>
      <c r="V8" s="1" t="s">
        <v>244</v>
      </c>
      <c r="W8" s="1" t="s">
        <v>245</v>
      </c>
      <c r="X8" s="1" t="s">
        <v>246</v>
      </c>
      <c r="Y8" s="1" t="s">
        <v>247</v>
      </c>
      <c r="Z8" s="1" t="s">
        <v>248</v>
      </c>
      <c r="AA8" s="1" t="s">
        <v>249</v>
      </c>
      <c r="AB8" s="1" t="s">
        <v>203</v>
      </c>
    </row>
    <row r="9" spans="1:28" x14ac:dyDescent="0.3">
      <c r="A9" s="26">
        <v>1</v>
      </c>
      <c r="B9" s="27" t="s">
        <v>250</v>
      </c>
      <c r="C9" s="27" t="s">
        <v>157</v>
      </c>
      <c r="D9" s="27" t="s">
        <v>251</v>
      </c>
      <c r="E9" s="27" t="s">
        <v>252</v>
      </c>
      <c r="F9" s="26" t="str">
        <f>IFERROR(VLOOKUP(C9,Assumptions_Config!$C$31:$I$43,2,FALSE),"Other")</f>
        <v>Equity</v>
      </c>
      <c r="G9" s="26" t="str">
        <f>IFERROR(VLOOKUP(C9,Assumptions_Config!$C$31:$I$43,3,FALSE),"Other")</f>
        <v>Equity</v>
      </c>
      <c r="H9" s="27" t="s">
        <v>253</v>
      </c>
      <c r="I9" s="28">
        <v>125000</v>
      </c>
      <c r="J9" s="28">
        <v>5000</v>
      </c>
      <c r="K9" s="29">
        <v>0.12</v>
      </c>
      <c r="L9" s="27" t="s">
        <v>254</v>
      </c>
      <c r="M9" s="30">
        <f>IF(L9="Yes",K9,IFERROR(VLOOKUP(C9,Assumptions_Config!$C$31:$I$43,4,FALSE),K9))</f>
        <v>0.12</v>
      </c>
      <c r="N9" s="29">
        <v>0.1</v>
      </c>
      <c r="O9" s="27" t="s">
        <v>159</v>
      </c>
      <c r="P9" s="26">
        <f ca="1">IFERROR(_xludf.SWITCH(O9,"Monthly",12,"Quarterly",4,"Half-Yearly",2,"Annually",1),1)</f>
        <v>1</v>
      </c>
      <c r="Q9" s="27">
        <v>15</v>
      </c>
      <c r="R9" s="27" t="s">
        <v>255</v>
      </c>
      <c r="S9" s="31">
        <f t="shared" ref="S9:S27" si="0">IF(R9="Months",Q9/12,Q9)</f>
        <v>15</v>
      </c>
      <c r="T9" s="27">
        <v>15</v>
      </c>
      <c r="U9" s="31">
        <f t="shared" ref="U9:U27" si="1">IF(AND(T9&lt;&gt;"",T9&gt;0),T9,S9)</f>
        <v>15</v>
      </c>
      <c r="V9" s="29"/>
      <c r="W9" s="30">
        <f>IF(AND(V9&lt;&gt;"",V9&gt;0),V9,Assumptions_Config!$D$9)</f>
        <v>6.5000000000000002E-2</v>
      </c>
      <c r="X9" s="26">
        <f>IFERROR(VLOOKUP(C9,Assumptions_Config!$C$31:$I$43,6,FALSE),5)</f>
        <v>7</v>
      </c>
      <c r="Y9" s="27"/>
      <c r="Z9" s="27"/>
      <c r="AA9" s="27" t="s">
        <v>250</v>
      </c>
      <c r="AB9" s="27" t="s">
        <v>256</v>
      </c>
    </row>
    <row r="10" spans="1:28" x14ac:dyDescent="0.3">
      <c r="A10" s="26">
        <v>2</v>
      </c>
      <c r="B10" s="27" t="s">
        <v>250</v>
      </c>
      <c r="C10" s="27" t="s">
        <v>157</v>
      </c>
      <c r="D10" s="27" t="s">
        <v>257</v>
      </c>
      <c r="E10" s="27" t="s">
        <v>252</v>
      </c>
      <c r="F10" s="26" t="str">
        <f>IFERROR(VLOOKUP(C10,Assumptions_Config!$C$31:$I$43,2,FALSE),"Other")</f>
        <v>Equity</v>
      </c>
      <c r="G10" s="26" t="str">
        <f>IFERROR(VLOOKUP(C10,Assumptions_Config!$C$31:$I$43,3,FALSE),"Other")</f>
        <v>Equity</v>
      </c>
      <c r="H10" s="27" t="s">
        <v>253</v>
      </c>
      <c r="I10" s="28">
        <v>80000</v>
      </c>
      <c r="J10" s="28">
        <v>3000</v>
      </c>
      <c r="K10" s="29">
        <v>0.14000000000000001</v>
      </c>
      <c r="L10" s="27" t="s">
        <v>250</v>
      </c>
      <c r="M10" s="30">
        <f>IF(L10="Yes",K10,IFERROR(VLOOKUP(C10,Assumptions_Config!$C$31:$I$43,4,FALSE),K10))</f>
        <v>0.14000000000000001</v>
      </c>
      <c r="N10" s="29">
        <v>0.05</v>
      </c>
      <c r="O10" s="27" t="s">
        <v>159</v>
      </c>
      <c r="P10" s="26">
        <f ca="1">IFERROR(_xludf.SWITCH(O10,"Monthly",12,"Quarterly",4,"Half-Yearly",2,"Annually",1),1)</f>
        <v>1</v>
      </c>
      <c r="Q10" s="27">
        <v>10</v>
      </c>
      <c r="R10" s="27" t="s">
        <v>255</v>
      </c>
      <c r="S10" s="31">
        <f t="shared" si="0"/>
        <v>10</v>
      </c>
      <c r="T10" s="27">
        <v>10</v>
      </c>
      <c r="U10" s="31">
        <f t="shared" si="1"/>
        <v>10</v>
      </c>
      <c r="V10" s="29"/>
      <c r="W10" s="30">
        <f>IF(AND(V10&lt;&gt;"",V10&gt;0),V10,Assumptions_Config!$D$9)</f>
        <v>6.5000000000000002E-2</v>
      </c>
      <c r="X10" s="26">
        <f>IFERROR(VLOOKUP(C10,Assumptions_Config!$C$31:$I$43,6,FALSE),5)</f>
        <v>7</v>
      </c>
      <c r="Y10" s="27"/>
      <c r="Z10" s="27"/>
      <c r="AA10" s="27" t="s">
        <v>250</v>
      </c>
      <c r="AB10" s="27" t="s">
        <v>258</v>
      </c>
    </row>
    <row r="11" spans="1:28" x14ac:dyDescent="0.3">
      <c r="A11" s="26">
        <v>3</v>
      </c>
      <c r="B11" s="27" t="s">
        <v>250</v>
      </c>
      <c r="C11" s="27" t="s">
        <v>163</v>
      </c>
      <c r="D11" s="27" t="s">
        <v>259</v>
      </c>
      <c r="E11" s="27" t="s">
        <v>252</v>
      </c>
      <c r="F11" s="26" t="str">
        <f>IFERROR(VLOOKUP(C11,Assumptions_Config!$C$31:$I$43,2,FALSE),"Other")</f>
        <v>Debt</v>
      </c>
      <c r="G11" s="26" t="str">
        <f>IFERROR(VLOOKUP(C11,Assumptions_Config!$C$31:$I$43,3,FALSE),"Other")</f>
        <v>Debt</v>
      </c>
      <c r="H11" s="27" t="s">
        <v>260</v>
      </c>
      <c r="I11" s="28">
        <v>500000</v>
      </c>
      <c r="J11" s="28">
        <v>0</v>
      </c>
      <c r="K11" s="29">
        <v>7.0999999999999994E-2</v>
      </c>
      <c r="L11" s="27" t="s">
        <v>250</v>
      </c>
      <c r="M11" s="30">
        <f>IF(L11="Yes",K11,IFERROR(VLOOKUP(C11,Assumptions_Config!$C$31:$I$43,4,FALSE),K11))</f>
        <v>7.0999999999999994E-2</v>
      </c>
      <c r="N11" s="29">
        <v>0</v>
      </c>
      <c r="O11" s="27" t="s">
        <v>165</v>
      </c>
      <c r="P11" s="26">
        <f ca="1">IFERROR(_xludf.SWITCH(O11,"Monthly",12,"Quarterly",4,"Half-Yearly",2,"Annually",1),1)</f>
        <v>1</v>
      </c>
      <c r="Q11" s="27">
        <v>5</v>
      </c>
      <c r="R11" s="27" t="s">
        <v>255</v>
      </c>
      <c r="S11" s="31">
        <f t="shared" si="0"/>
        <v>5</v>
      </c>
      <c r="T11" s="27">
        <v>5</v>
      </c>
      <c r="U11" s="31">
        <f t="shared" si="1"/>
        <v>5</v>
      </c>
      <c r="V11" s="29"/>
      <c r="W11" s="30">
        <f>IF(AND(V11&lt;&gt;"",V11&gt;0),V11,Assumptions_Config!$D$9)</f>
        <v>6.5000000000000002E-2</v>
      </c>
      <c r="X11" s="26">
        <f>IFERROR(VLOOKUP(C11,Assumptions_Config!$C$31:$I$43,6,FALSE),5)</f>
        <v>2</v>
      </c>
      <c r="Y11" s="27"/>
      <c r="Z11" s="27"/>
      <c r="AA11" s="27" t="s">
        <v>250</v>
      </c>
      <c r="AB11" s="27" t="s">
        <v>261</v>
      </c>
    </row>
    <row r="12" spans="1:28" x14ac:dyDescent="0.3">
      <c r="A12" s="26">
        <v>4</v>
      </c>
      <c r="B12" s="27" t="s">
        <v>250</v>
      </c>
      <c r="C12" s="27" t="s">
        <v>167</v>
      </c>
      <c r="D12" s="27" t="s">
        <v>262</v>
      </c>
      <c r="E12" s="27" t="s">
        <v>252</v>
      </c>
      <c r="F12" s="26" t="str">
        <f>IFERROR(VLOOKUP(C12,Assumptions_Config!$C$31:$I$43,2,FALSE),"Other")</f>
        <v>Debt</v>
      </c>
      <c r="G12" s="26" t="str">
        <f>IFERROR(VLOOKUP(C12,Assumptions_Config!$C$31:$I$43,3,FALSE),"Other")</f>
        <v>Debt</v>
      </c>
      <c r="H12" s="27" t="s">
        <v>253</v>
      </c>
      <c r="I12" s="28">
        <v>60000</v>
      </c>
      <c r="J12" s="28">
        <v>5000</v>
      </c>
      <c r="K12" s="29">
        <v>7.0000000000000007E-2</v>
      </c>
      <c r="L12" s="27" t="s">
        <v>254</v>
      </c>
      <c r="M12" s="30">
        <f>IF(L12="Yes",K12,IFERROR(VLOOKUP(C12,Assumptions_Config!$C$31:$I$43,4,FALSE),K12))</f>
        <v>6.5000000000000002E-2</v>
      </c>
      <c r="N12" s="29">
        <v>0</v>
      </c>
      <c r="O12" s="27" t="s">
        <v>165</v>
      </c>
      <c r="P12" s="26">
        <f ca="1">IFERROR(_xludf.SWITCH(O12,"Monthly",12,"Quarterly",4,"Half-Yearly",2,"Annually",1),1)</f>
        <v>1</v>
      </c>
      <c r="Q12" s="27">
        <v>5</v>
      </c>
      <c r="R12" s="27" t="s">
        <v>255</v>
      </c>
      <c r="S12" s="31">
        <f t="shared" si="0"/>
        <v>5</v>
      </c>
      <c r="T12" s="27">
        <v>4</v>
      </c>
      <c r="U12" s="31">
        <f t="shared" si="1"/>
        <v>4</v>
      </c>
      <c r="V12" s="29"/>
      <c r="W12" s="30">
        <f>IF(AND(V12&lt;&gt;"",V12&gt;0),V12,Assumptions_Config!$D$9)</f>
        <v>6.5000000000000002E-2</v>
      </c>
      <c r="X12" s="26">
        <f>IFERROR(VLOOKUP(C12,Assumptions_Config!$C$31:$I$43,6,FALSE),5)</f>
        <v>2</v>
      </c>
      <c r="Y12" s="27"/>
      <c r="Z12" s="27"/>
      <c r="AA12" s="27" t="s">
        <v>250</v>
      </c>
      <c r="AB12" s="27" t="s">
        <v>263</v>
      </c>
    </row>
    <row r="13" spans="1:28" x14ac:dyDescent="0.3">
      <c r="A13" s="26">
        <v>5</v>
      </c>
      <c r="B13" s="27" t="s">
        <v>250</v>
      </c>
      <c r="C13" s="27" t="s">
        <v>171</v>
      </c>
      <c r="D13" s="27" t="s">
        <v>264</v>
      </c>
      <c r="E13" s="27" t="s">
        <v>252</v>
      </c>
      <c r="F13" s="26" t="str">
        <f>IFERROR(VLOOKUP(C13,Assumptions_Config!$C$31:$I$43,2,FALSE),"Other")</f>
        <v>Retirement</v>
      </c>
      <c r="G13" s="26" t="str">
        <f>IFERROR(VLOOKUP(C13,Assumptions_Config!$C$31:$I$43,3,FALSE),"Other")</f>
        <v>Debt</v>
      </c>
      <c r="H13" s="27" t="s">
        <v>253</v>
      </c>
      <c r="I13" s="28">
        <v>200000</v>
      </c>
      <c r="J13" s="28">
        <v>5000</v>
      </c>
      <c r="K13" s="29">
        <v>7.0999999999999994E-2</v>
      </c>
      <c r="L13" s="27" t="s">
        <v>254</v>
      </c>
      <c r="M13" s="30">
        <f>IF(L13="Yes",K13,IFERROR(VLOOKUP(C13,Assumptions_Config!$C$31:$I$43,4,FALSE),K13))</f>
        <v>7.0999999999999994E-2</v>
      </c>
      <c r="N13" s="29">
        <v>0</v>
      </c>
      <c r="O13" s="27" t="s">
        <v>162</v>
      </c>
      <c r="P13" s="26">
        <f ca="1">IFERROR(_xludf.SWITCH(O13,"Monthly",12,"Quarterly",4,"Half-Yearly",2,"Annually",1),1)</f>
        <v>1</v>
      </c>
      <c r="Q13" s="27">
        <v>15</v>
      </c>
      <c r="R13" s="27" t="s">
        <v>255</v>
      </c>
      <c r="S13" s="31">
        <f t="shared" si="0"/>
        <v>15</v>
      </c>
      <c r="T13" s="27">
        <v>12</v>
      </c>
      <c r="U13" s="31">
        <f t="shared" si="1"/>
        <v>12</v>
      </c>
      <c r="V13" s="29"/>
      <c r="W13" s="30">
        <f>IF(AND(V13&lt;&gt;"",V13&gt;0),V13,Assumptions_Config!$D$9)</f>
        <v>6.5000000000000002E-2</v>
      </c>
      <c r="X13" s="26">
        <f>IFERROR(VLOOKUP(C13,Assumptions_Config!$C$31:$I$43,6,FALSE),5)</f>
        <v>1</v>
      </c>
      <c r="Y13" s="27"/>
      <c r="Z13" s="27"/>
      <c r="AA13" s="27" t="s">
        <v>254</v>
      </c>
      <c r="AB13" s="27" t="s">
        <v>265</v>
      </c>
    </row>
    <row r="14" spans="1:28" x14ac:dyDescent="0.3">
      <c r="A14" s="26"/>
      <c r="B14" s="27"/>
      <c r="C14" s="27"/>
      <c r="D14" s="27"/>
      <c r="E14" s="27"/>
      <c r="F14" s="26"/>
      <c r="G14" s="26"/>
      <c r="H14" s="27"/>
      <c r="I14" s="28"/>
      <c r="J14" s="28"/>
      <c r="K14" s="29"/>
      <c r="L14" s="27"/>
      <c r="M14" s="30"/>
      <c r="N14" s="29"/>
      <c r="O14" s="27"/>
      <c r="P14" s="26"/>
      <c r="Q14" s="27"/>
      <c r="R14" s="27"/>
      <c r="S14" s="31"/>
      <c r="T14" s="27"/>
      <c r="U14" s="31"/>
      <c r="V14" s="29"/>
      <c r="W14" s="30"/>
      <c r="X14" s="26"/>
      <c r="Y14" s="27"/>
      <c r="Z14" s="27"/>
      <c r="AA14" s="27"/>
      <c r="AB14" s="27"/>
    </row>
    <row r="15" spans="1:28" x14ac:dyDescent="0.3">
      <c r="A15" s="26"/>
      <c r="B15" s="27"/>
      <c r="C15" s="27"/>
      <c r="D15" s="27"/>
      <c r="E15" s="27"/>
      <c r="F15" s="26"/>
      <c r="G15" s="26"/>
      <c r="H15" s="27"/>
      <c r="I15" s="28"/>
      <c r="J15" s="28"/>
      <c r="K15" s="29"/>
      <c r="L15" s="27"/>
      <c r="M15" s="30"/>
      <c r="N15" s="29"/>
      <c r="O15" s="27"/>
      <c r="P15" s="26"/>
      <c r="Q15" s="27"/>
      <c r="R15" s="27"/>
      <c r="S15" s="31"/>
      <c r="T15" s="27"/>
      <c r="U15" s="31"/>
      <c r="V15" s="29"/>
      <c r="W15" s="30"/>
      <c r="X15" s="26"/>
      <c r="Y15" s="27"/>
      <c r="Z15" s="27"/>
      <c r="AA15" s="27"/>
      <c r="AB15" s="27"/>
    </row>
    <row r="16" spans="1:28" x14ac:dyDescent="0.3">
      <c r="A16" s="26"/>
      <c r="B16" s="27"/>
      <c r="C16" s="27"/>
      <c r="D16" s="27"/>
      <c r="E16" s="27"/>
      <c r="F16" s="26"/>
      <c r="G16" s="26"/>
      <c r="H16" s="27"/>
      <c r="I16" s="28"/>
      <c r="J16" s="28"/>
      <c r="K16" s="29"/>
      <c r="L16" s="27"/>
      <c r="M16" s="30"/>
      <c r="N16" s="29"/>
      <c r="O16" s="27"/>
      <c r="P16" s="26"/>
      <c r="Q16" s="27"/>
      <c r="R16" s="27"/>
      <c r="S16" s="31"/>
      <c r="T16" s="27"/>
      <c r="U16" s="31"/>
      <c r="V16" s="29"/>
      <c r="W16" s="30"/>
      <c r="X16" s="26"/>
      <c r="Y16" s="27"/>
      <c r="Z16" s="27"/>
      <c r="AA16" s="27"/>
      <c r="AB16" s="27"/>
    </row>
    <row r="17" spans="1:28" x14ac:dyDescent="0.3">
      <c r="A17" s="26"/>
      <c r="B17" s="27"/>
      <c r="C17" s="27"/>
      <c r="D17" s="27"/>
      <c r="E17" s="27"/>
      <c r="F17" s="26"/>
      <c r="G17" s="26"/>
      <c r="H17" s="27"/>
      <c r="I17" s="28"/>
      <c r="J17" s="28"/>
      <c r="K17" s="29"/>
      <c r="L17" s="27"/>
      <c r="M17" s="30"/>
      <c r="N17" s="29"/>
      <c r="O17" s="27"/>
      <c r="P17" s="26"/>
      <c r="Q17" s="27"/>
      <c r="R17" s="27"/>
      <c r="S17" s="31"/>
      <c r="T17" s="27"/>
      <c r="U17" s="31"/>
      <c r="V17" s="29"/>
      <c r="W17" s="30"/>
      <c r="X17" s="26"/>
      <c r="Y17" s="27"/>
      <c r="Z17" s="27"/>
      <c r="AA17" s="27"/>
      <c r="AB17" s="27"/>
    </row>
    <row r="18" spans="1:28" x14ac:dyDescent="0.3">
      <c r="A18" s="26"/>
      <c r="B18" s="27"/>
      <c r="C18" s="27"/>
      <c r="D18" s="27"/>
      <c r="E18" s="27"/>
      <c r="F18" s="26"/>
      <c r="G18" s="26"/>
      <c r="H18" s="27"/>
      <c r="I18" s="28"/>
      <c r="J18" s="28"/>
      <c r="K18" s="29"/>
      <c r="L18" s="27"/>
      <c r="M18" s="30"/>
      <c r="N18" s="29"/>
      <c r="O18" s="27"/>
      <c r="P18" s="26"/>
      <c r="Q18" s="27"/>
      <c r="R18" s="27"/>
      <c r="S18" s="31"/>
      <c r="T18" s="27"/>
      <c r="U18" s="31"/>
      <c r="V18" s="29"/>
      <c r="W18" s="30"/>
      <c r="X18" s="26"/>
      <c r="Y18" s="27"/>
      <c r="Z18" s="27"/>
      <c r="AA18" s="27"/>
      <c r="AB18" s="27"/>
    </row>
    <row r="19" spans="1:28" x14ac:dyDescent="0.3">
      <c r="A19" s="26"/>
      <c r="B19" s="27"/>
      <c r="C19" s="27"/>
      <c r="D19" s="27"/>
      <c r="E19" s="27"/>
      <c r="F19" s="26"/>
      <c r="G19" s="26"/>
      <c r="H19" s="27"/>
      <c r="I19" s="28"/>
      <c r="J19" s="28"/>
      <c r="K19" s="29"/>
      <c r="L19" s="27"/>
      <c r="M19" s="30"/>
      <c r="N19" s="29"/>
      <c r="O19" s="27"/>
      <c r="P19" s="26"/>
      <c r="Q19" s="27"/>
      <c r="R19" s="27"/>
      <c r="S19" s="31"/>
      <c r="T19" s="27"/>
      <c r="U19" s="31"/>
      <c r="V19" s="29"/>
      <c r="W19" s="30"/>
      <c r="X19" s="26"/>
      <c r="Y19" s="27"/>
      <c r="Z19" s="27"/>
      <c r="AA19" s="27"/>
      <c r="AB19" s="27"/>
    </row>
    <row r="20" spans="1:28" x14ac:dyDescent="0.3">
      <c r="A20" s="26"/>
      <c r="B20" s="27"/>
      <c r="C20" s="27"/>
      <c r="D20" s="27"/>
      <c r="E20" s="27"/>
      <c r="F20" s="26"/>
      <c r="G20" s="26"/>
      <c r="H20" s="27"/>
      <c r="I20" s="28"/>
      <c r="J20" s="28"/>
      <c r="K20" s="29"/>
      <c r="L20" s="27"/>
      <c r="M20" s="30"/>
      <c r="N20" s="29"/>
      <c r="O20" s="27"/>
      <c r="P20" s="26"/>
      <c r="Q20" s="27"/>
      <c r="R20" s="27"/>
      <c r="S20" s="31"/>
      <c r="T20" s="27"/>
      <c r="U20" s="31"/>
      <c r="V20" s="29"/>
      <c r="W20" s="30"/>
      <c r="X20" s="26"/>
      <c r="Y20" s="27"/>
      <c r="Z20" s="27"/>
      <c r="AA20" s="27"/>
      <c r="AB20" s="27"/>
    </row>
    <row r="21" spans="1:28" x14ac:dyDescent="0.3">
      <c r="A21" s="26">
        <v>6</v>
      </c>
      <c r="B21" s="27" t="s">
        <v>250</v>
      </c>
      <c r="C21" s="27" t="s">
        <v>176</v>
      </c>
      <c r="D21" s="27" t="s">
        <v>266</v>
      </c>
      <c r="E21" s="27" t="s">
        <v>267</v>
      </c>
      <c r="F21" s="26" t="str">
        <f>IFERROR(VLOOKUP(C21,Assumptions_Config!$C$31:$I$43,2,FALSE),"Other")</f>
        <v>Real Asset</v>
      </c>
      <c r="G21" s="26" t="str">
        <f>IFERROR(VLOOKUP(C21,Assumptions_Config!$C$31:$I$43,3,FALSE),"Other")</f>
        <v>Other</v>
      </c>
      <c r="H21" s="27" t="s">
        <v>260</v>
      </c>
      <c r="I21" s="28">
        <v>300000</v>
      </c>
      <c r="J21" s="28">
        <v>0</v>
      </c>
      <c r="K21" s="29">
        <v>0.08</v>
      </c>
      <c r="L21" s="27" t="s">
        <v>254</v>
      </c>
      <c r="M21" s="30">
        <f>IF(L21="Yes",K21,IFERROR(VLOOKUP(C21,Assumptions_Config!$C$31:$I$43,4,FALSE),K21))</f>
        <v>0.08</v>
      </c>
      <c r="N21" s="29">
        <v>0</v>
      </c>
      <c r="O21" s="27" t="s">
        <v>162</v>
      </c>
      <c r="P21" s="26">
        <f ca="1">IFERROR(_xludf.SWITCH(O21,"Monthly",12,"Quarterly",4,"Half-Yearly",2,"Annually",1),1)</f>
        <v>1</v>
      </c>
      <c r="Q21" s="27">
        <v>8</v>
      </c>
      <c r="R21" s="27" t="s">
        <v>255</v>
      </c>
      <c r="S21" s="31">
        <f t="shared" si="0"/>
        <v>8</v>
      </c>
      <c r="T21" s="27">
        <v>6</v>
      </c>
      <c r="U21" s="31">
        <f t="shared" si="1"/>
        <v>6</v>
      </c>
      <c r="V21" s="29"/>
      <c r="W21" s="30">
        <f>IF(AND(V21&lt;&gt;"",V21&gt;0),V21,Assumptions_Config!$D$9)</f>
        <v>6.5000000000000002E-2</v>
      </c>
      <c r="X21" s="26">
        <f>IFERROR(VLOOKUP(C21,Assumptions_Config!$C$31:$I$43,6,FALSE),5)</f>
        <v>4</v>
      </c>
      <c r="Y21" s="27"/>
      <c r="Z21" s="27"/>
      <c r="AA21" s="27" t="s">
        <v>250</v>
      </c>
      <c r="AB21" s="27" t="s">
        <v>268</v>
      </c>
    </row>
    <row r="22" spans="1:28" x14ac:dyDescent="0.3">
      <c r="A22" s="26">
        <v>7</v>
      </c>
      <c r="B22" s="27" t="s">
        <v>250</v>
      </c>
      <c r="C22" s="27" t="s">
        <v>161</v>
      </c>
      <c r="D22" s="27" t="s">
        <v>269</v>
      </c>
      <c r="E22" s="27" t="s">
        <v>252</v>
      </c>
      <c r="F22" s="26" t="str">
        <f>IFERROR(VLOOKUP(C22,Assumptions_Config!$C$31:$I$43,2,FALSE),"Other")</f>
        <v>Equity</v>
      </c>
      <c r="G22" s="26" t="str">
        <f>IFERROR(VLOOKUP(C22,Assumptions_Config!$C$31:$I$43,3,FALSE),"Other")</f>
        <v>Equity</v>
      </c>
      <c r="H22" s="27" t="s">
        <v>260</v>
      </c>
      <c r="I22" s="28">
        <v>450000</v>
      </c>
      <c r="J22" s="28">
        <v>0</v>
      </c>
      <c r="K22" s="29">
        <v>0.14000000000000001</v>
      </c>
      <c r="L22" s="27" t="s">
        <v>250</v>
      </c>
      <c r="M22" s="30">
        <f>IF(L22="Yes",K22,IFERROR(VLOOKUP(C22,Assumptions_Config!$C$31:$I$43,4,FALSE),K22))</f>
        <v>0.14000000000000001</v>
      </c>
      <c r="N22" s="29">
        <v>0</v>
      </c>
      <c r="O22" s="27" t="s">
        <v>162</v>
      </c>
      <c r="P22" s="26">
        <f ca="1">IFERROR(_xludf.SWITCH(O22,"Monthly",12,"Quarterly",4,"Half-Yearly",2,"Annually",1),1)</f>
        <v>1</v>
      </c>
      <c r="Q22" s="27">
        <v>20</v>
      </c>
      <c r="R22" s="27" t="s">
        <v>255</v>
      </c>
      <c r="S22" s="31">
        <f t="shared" si="0"/>
        <v>20</v>
      </c>
      <c r="T22" s="27">
        <v>20</v>
      </c>
      <c r="U22" s="31">
        <f t="shared" si="1"/>
        <v>20</v>
      </c>
      <c r="V22" s="29"/>
      <c r="W22" s="30">
        <f>IF(AND(V22&lt;&gt;"",V22&gt;0),V22,Assumptions_Config!$D$9)</f>
        <v>6.5000000000000002E-2</v>
      </c>
      <c r="X22" s="26">
        <f>IFERROR(VLOOKUP(C22,Assumptions_Config!$C$31:$I$43,6,FALSE),5)</f>
        <v>8</v>
      </c>
      <c r="Y22" s="27"/>
      <c r="Z22" s="27"/>
      <c r="AA22" s="27" t="s">
        <v>250</v>
      </c>
      <c r="AB22" s="27" t="s">
        <v>270</v>
      </c>
    </row>
    <row r="23" spans="1:28" x14ac:dyDescent="0.3">
      <c r="A23" s="26">
        <v>8</v>
      </c>
      <c r="B23" s="27" t="s">
        <v>250</v>
      </c>
      <c r="C23" s="27" t="s">
        <v>172</v>
      </c>
      <c r="D23" s="27" t="s">
        <v>271</v>
      </c>
      <c r="E23" s="27" t="s">
        <v>252</v>
      </c>
      <c r="F23" s="26" t="str">
        <f>IFERROR(VLOOKUP(C23,Assumptions_Config!$C$31:$I$43,2,FALSE),"Other")</f>
        <v>Retirement</v>
      </c>
      <c r="G23" s="26" t="str">
        <f>IFERROR(VLOOKUP(C23,Assumptions_Config!$C$31:$I$43,3,FALSE),"Other")</f>
        <v>Equity</v>
      </c>
      <c r="H23" s="27" t="s">
        <v>253</v>
      </c>
      <c r="I23" s="28">
        <v>150000</v>
      </c>
      <c r="J23" s="28">
        <v>4000</v>
      </c>
      <c r="K23" s="29">
        <v>0.1</v>
      </c>
      <c r="L23" s="27" t="s">
        <v>254</v>
      </c>
      <c r="M23" s="30">
        <f>IF(L23="Yes",K23,IFERROR(VLOOKUP(C23,Assumptions_Config!$C$31:$I$43,4,FALSE),K23))</f>
        <v>0.1</v>
      </c>
      <c r="N23" s="29">
        <v>0</v>
      </c>
      <c r="O23" s="27" t="s">
        <v>162</v>
      </c>
      <c r="P23" s="26">
        <f ca="1">IFERROR(_xludf.SWITCH(O23,"Monthly",12,"Quarterly",4,"Half-Yearly",2,"Annually",1),1)</f>
        <v>1</v>
      </c>
      <c r="Q23" s="27">
        <v>25</v>
      </c>
      <c r="R23" s="27" t="s">
        <v>255</v>
      </c>
      <c r="S23" s="31">
        <f t="shared" si="0"/>
        <v>25</v>
      </c>
      <c r="T23" s="27">
        <v>22</v>
      </c>
      <c r="U23" s="31">
        <f t="shared" si="1"/>
        <v>22</v>
      </c>
      <c r="V23" s="29"/>
      <c r="W23" s="30">
        <f>IF(AND(V23&lt;&gt;"",V23&gt;0),V23,Assumptions_Config!$D$9)</f>
        <v>6.5000000000000002E-2</v>
      </c>
      <c r="X23" s="26">
        <f>IFERROR(VLOOKUP(C23,Assumptions_Config!$C$31:$I$43,6,FALSE),5)</f>
        <v>5</v>
      </c>
      <c r="Y23" s="27"/>
      <c r="Z23" s="27"/>
      <c r="AA23" s="27" t="s">
        <v>254</v>
      </c>
      <c r="AB23" s="27" t="s">
        <v>169</v>
      </c>
    </row>
    <row r="24" spans="1:28" x14ac:dyDescent="0.3">
      <c r="A24" s="26">
        <v>9</v>
      </c>
      <c r="B24" s="27" t="s">
        <v>250</v>
      </c>
      <c r="C24" s="27" t="s">
        <v>174</v>
      </c>
      <c r="D24" s="27" t="s">
        <v>272</v>
      </c>
      <c r="E24" s="27" t="s">
        <v>252</v>
      </c>
      <c r="F24" s="26" t="str">
        <f>IFERROR(VLOOKUP(C24,Assumptions_Config!$C$31:$I$43,2,FALSE),"Other")</f>
        <v>Cash</v>
      </c>
      <c r="G24" s="26" t="str">
        <f>IFERROR(VLOOKUP(C24,Assumptions_Config!$C$31:$I$43,3,FALSE),"Other")</f>
        <v>Debt</v>
      </c>
      <c r="H24" s="27" t="s">
        <v>260</v>
      </c>
      <c r="I24" s="28">
        <v>100000</v>
      </c>
      <c r="J24" s="28">
        <v>0</v>
      </c>
      <c r="K24" s="29">
        <v>0.04</v>
      </c>
      <c r="L24" s="27" t="s">
        <v>254</v>
      </c>
      <c r="M24" s="30">
        <f>IF(L24="Yes",K24,IFERROR(VLOOKUP(C24,Assumptions_Config!$C$31:$I$43,4,FALSE),K24))</f>
        <v>0.04</v>
      </c>
      <c r="N24" s="29">
        <v>0</v>
      </c>
      <c r="O24" s="27" t="s">
        <v>165</v>
      </c>
      <c r="P24" s="26">
        <f ca="1">IFERROR(_xludf.SWITCH(O24,"Monthly",12,"Quarterly",4,"Half-Yearly",2,"Annually",1),1)</f>
        <v>1</v>
      </c>
      <c r="Q24" s="27">
        <v>20</v>
      </c>
      <c r="R24" s="27" t="s">
        <v>255</v>
      </c>
      <c r="S24" s="31">
        <f t="shared" si="0"/>
        <v>20</v>
      </c>
      <c r="T24" s="27">
        <v>20</v>
      </c>
      <c r="U24" s="31">
        <f t="shared" si="1"/>
        <v>20</v>
      </c>
      <c r="V24" s="29"/>
      <c r="W24" s="30">
        <f>IF(AND(V24&lt;&gt;"",V24&gt;0),V24,Assumptions_Config!$D$9)</f>
        <v>6.5000000000000002E-2</v>
      </c>
      <c r="X24" s="26">
        <f>IFERROR(VLOOKUP(C24,Assumptions_Config!$C$31:$I$43,6,FALSE),5)</f>
        <v>1</v>
      </c>
      <c r="Y24" s="27"/>
      <c r="Z24" s="27"/>
      <c r="AA24" s="27" t="s">
        <v>250</v>
      </c>
      <c r="AB24" s="27" t="s">
        <v>273</v>
      </c>
    </row>
    <row r="25" spans="1:28" x14ac:dyDescent="0.3">
      <c r="A25" s="26">
        <v>10</v>
      </c>
      <c r="B25" s="27" t="s">
        <v>250</v>
      </c>
      <c r="C25" s="27" t="s">
        <v>180</v>
      </c>
      <c r="D25" s="27" t="s">
        <v>274</v>
      </c>
      <c r="E25" s="27" t="s">
        <v>252</v>
      </c>
      <c r="F25" s="26" t="str">
        <f>IFERROR(VLOOKUP(C25,Assumptions_Config!$C$31:$I$43,2,FALSE),"Other")</f>
        <v>Real Asset</v>
      </c>
      <c r="G25" s="26" t="str">
        <f>IFERROR(VLOOKUP(C25,Assumptions_Config!$C$31:$I$43,3,FALSE),"Other")</f>
        <v>Other</v>
      </c>
      <c r="H25" s="27" t="s">
        <v>260</v>
      </c>
      <c r="I25" s="28">
        <v>2000000</v>
      </c>
      <c r="J25" s="28">
        <v>0</v>
      </c>
      <c r="K25" s="29">
        <v>0.1</v>
      </c>
      <c r="L25" s="27" t="s">
        <v>254</v>
      </c>
      <c r="M25" s="30">
        <f>IF(L25="Yes",K25,IFERROR(VLOOKUP(C25,Assumptions_Config!$C$31:$I$43,4,FALSE),K25))</f>
        <v>0.1</v>
      </c>
      <c r="N25" s="29">
        <v>0</v>
      </c>
      <c r="O25" s="27" t="s">
        <v>162</v>
      </c>
      <c r="P25" s="26">
        <f ca="1">IFERROR(_xludf.SWITCH(O25,"Monthly",12,"Quarterly",4,"Half-Yearly",2,"Annually",1),1)</f>
        <v>1</v>
      </c>
      <c r="Q25" s="27">
        <v>15</v>
      </c>
      <c r="R25" s="27" t="s">
        <v>255</v>
      </c>
      <c r="S25" s="31">
        <f t="shared" si="0"/>
        <v>15</v>
      </c>
      <c r="T25" s="27">
        <v>15</v>
      </c>
      <c r="U25" s="31">
        <f t="shared" si="1"/>
        <v>15</v>
      </c>
      <c r="V25" s="29"/>
      <c r="W25" s="30">
        <f>IF(AND(V25&lt;&gt;"",V25&gt;0),V25,Assumptions_Config!$D$9)</f>
        <v>6.5000000000000002E-2</v>
      </c>
      <c r="X25" s="26">
        <f>IFERROR(VLOOKUP(C25,Assumptions_Config!$C$31:$I$43,6,FALSE),5)</f>
        <v>6</v>
      </c>
      <c r="Y25" s="27"/>
      <c r="Z25" s="27"/>
      <c r="AA25" s="27" t="s">
        <v>250</v>
      </c>
      <c r="AB25" s="27" t="s">
        <v>275</v>
      </c>
    </row>
    <row r="26" spans="1:28" x14ac:dyDescent="0.3">
      <c r="A26" s="26">
        <v>11</v>
      </c>
      <c r="B26" s="27" t="s">
        <v>250</v>
      </c>
      <c r="C26" s="27" t="s">
        <v>157</v>
      </c>
      <c r="D26" s="27" t="s">
        <v>276</v>
      </c>
      <c r="E26" s="27" t="s">
        <v>267</v>
      </c>
      <c r="F26" s="26" t="str">
        <f>IFERROR(VLOOKUP(C26,Assumptions_Config!$C$31:$I$43,2,FALSE),"Other")</f>
        <v>Equity</v>
      </c>
      <c r="G26" s="26" t="str">
        <f>IFERROR(VLOOKUP(C26,Assumptions_Config!$C$31:$I$43,3,FALSE),"Other")</f>
        <v>Equity</v>
      </c>
      <c r="H26" s="27" t="s">
        <v>253</v>
      </c>
      <c r="I26" s="28">
        <v>50000</v>
      </c>
      <c r="J26" s="28">
        <v>5000</v>
      </c>
      <c r="K26" s="29">
        <v>0.13</v>
      </c>
      <c r="L26" s="27" t="s">
        <v>254</v>
      </c>
      <c r="M26" s="30">
        <f>IF(L26="Yes",K26,IFERROR(VLOOKUP(C26,Assumptions_Config!$C$31:$I$43,4,FALSE),K26))</f>
        <v>0.12</v>
      </c>
      <c r="N26" s="29">
        <v>0</v>
      </c>
      <c r="O26" s="27" t="s">
        <v>159</v>
      </c>
      <c r="P26" s="26">
        <f ca="1">IFERROR(_xludf.SWITCH(O26,"Monthly",12,"Quarterly",4,"Half-Yearly",2,"Annually",1),1)</f>
        <v>1</v>
      </c>
      <c r="Q26" s="27">
        <v>10</v>
      </c>
      <c r="R26" s="27" t="s">
        <v>255</v>
      </c>
      <c r="S26" s="31">
        <f t="shared" si="0"/>
        <v>10</v>
      </c>
      <c r="T26" s="27">
        <v>10</v>
      </c>
      <c r="U26" s="31">
        <f t="shared" si="1"/>
        <v>10</v>
      </c>
      <c r="V26" s="29"/>
      <c r="W26" s="30">
        <f>IF(AND(V26&lt;&gt;"",V26&gt;0),V26,Assumptions_Config!$D$9)</f>
        <v>6.5000000000000002E-2</v>
      </c>
      <c r="X26" s="26">
        <f>IFERROR(VLOOKUP(C26,Assumptions_Config!$C$31:$I$43,6,FALSE),5)</f>
        <v>7</v>
      </c>
      <c r="Y26" s="27"/>
      <c r="Z26" s="27"/>
      <c r="AA26" s="27" t="s">
        <v>254</v>
      </c>
      <c r="AB26" s="27" t="s">
        <v>277</v>
      </c>
    </row>
    <row r="27" spans="1:28" x14ac:dyDescent="0.3">
      <c r="A27" s="26">
        <v>12</v>
      </c>
      <c r="B27" s="27" t="s">
        <v>250</v>
      </c>
      <c r="C27" s="27" t="s">
        <v>182</v>
      </c>
      <c r="D27" s="27" t="s">
        <v>278</v>
      </c>
      <c r="E27" s="27" t="s">
        <v>252</v>
      </c>
      <c r="F27" s="26" t="str">
        <f>IFERROR(VLOOKUP(C27,Assumptions_Config!$C$31:$I$43,2,FALSE),"Other")</f>
        <v>Alternative</v>
      </c>
      <c r="G27" s="26" t="str">
        <f>IFERROR(VLOOKUP(C27,Assumptions_Config!$C$31:$I$43,3,FALSE),"Other")</f>
        <v>Other</v>
      </c>
      <c r="H27" s="27" t="s">
        <v>260</v>
      </c>
      <c r="I27" s="28">
        <v>100000</v>
      </c>
      <c r="J27" s="28">
        <v>0</v>
      </c>
      <c r="K27" s="29">
        <v>0.15</v>
      </c>
      <c r="L27" s="27" t="s">
        <v>254</v>
      </c>
      <c r="M27" s="30">
        <f>IF(L27="Yes",K27,IFERROR(VLOOKUP(C27,Assumptions_Config!$C$31:$I$43,4,FALSE),K27))</f>
        <v>0.15</v>
      </c>
      <c r="N27" s="29">
        <v>0</v>
      </c>
      <c r="O27" s="27" t="s">
        <v>162</v>
      </c>
      <c r="P27" s="26">
        <f ca="1">IFERROR(_xludf.SWITCH(O27,"Monthly",12,"Quarterly",4,"Half-Yearly",2,"Annually",1),1)</f>
        <v>1</v>
      </c>
      <c r="Q27" s="27">
        <v>10</v>
      </c>
      <c r="R27" s="27" t="s">
        <v>255</v>
      </c>
      <c r="S27" s="31">
        <f t="shared" si="0"/>
        <v>10</v>
      </c>
      <c r="T27" s="27">
        <v>10</v>
      </c>
      <c r="U27" s="31">
        <f t="shared" si="1"/>
        <v>10</v>
      </c>
      <c r="V27" s="29"/>
      <c r="W27" s="30">
        <f>IF(AND(V27&lt;&gt;"",V27&gt;0),V27,Assumptions_Config!$D$9)</f>
        <v>6.5000000000000002E-2</v>
      </c>
      <c r="X27" s="26">
        <f>IFERROR(VLOOKUP(C27,Assumptions_Config!$C$31:$I$43,6,FALSE),5)</f>
        <v>10</v>
      </c>
      <c r="Y27" s="27"/>
      <c r="Z27" s="27"/>
      <c r="AA27" s="27" t="s">
        <v>250</v>
      </c>
      <c r="AB27" s="27" t="s">
        <v>279</v>
      </c>
    </row>
    <row r="28" spans="1:28" x14ac:dyDescent="0.3">
      <c r="A28" s="148"/>
      <c r="B28" s="149"/>
      <c r="C28" s="149"/>
      <c r="D28" s="149"/>
      <c r="E28" s="149"/>
      <c r="F28" s="148"/>
      <c r="G28" s="148"/>
      <c r="H28" s="149"/>
      <c r="I28" s="150"/>
      <c r="J28" s="150"/>
      <c r="K28" s="151"/>
      <c r="L28" s="149"/>
      <c r="M28" s="152"/>
      <c r="N28" s="151"/>
      <c r="O28" s="149"/>
      <c r="P28" s="148"/>
      <c r="Q28" s="149"/>
      <c r="R28" s="149"/>
      <c r="S28" s="153"/>
      <c r="T28" s="149"/>
      <c r="U28" s="153"/>
      <c r="V28" s="151"/>
      <c r="W28" s="152"/>
      <c r="X28" s="148"/>
      <c r="Y28" s="149"/>
      <c r="Z28" s="149"/>
      <c r="AA28" s="149"/>
      <c r="AB28" s="149"/>
    </row>
  </sheetData>
  <mergeCells count="11">
    <mergeCell ref="A1:AB1"/>
    <mergeCell ref="H5:I5"/>
    <mergeCell ref="H4:I4"/>
    <mergeCell ref="A6:B6"/>
    <mergeCell ref="A4:B4"/>
    <mergeCell ref="A2:AB2"/>
    <mergeCell ref="E4:F4"/>
    <mergeCell ref="E6:F6"/>
    <mergeCell ref="A3:J3"/>
    <mergeCell ref="A5:B5"/>
    <mergeCell ref="E5:F5"/>
  </mergeCells>
  <dataValidations count="6">
    <dataValidation type="list" sqref="B9:B28 L9:L28 AA9:AA28" xr:uid="{00000000-0002-0000-0200-000000000000}">
      <formula1>"Yes,No"</formula1>
    </dataValidation>
    <dataValidation type="list" sqref="C9:C28" xr:uid="{00000000-0002-0000-0200-000001000000}">
      <formula1>"SIP,Stocks,FD,RD,PF,PPF,NPS,Savings Account,Gold,Silver,Land,Crypto,Others"</formula1>
    </dataValidation>
    <dataValidation type="list" sqref="H9:H28" xr:uid="{00000000-0002-0000-0200-000002000000}">
      <formula1>"One-Time,Recurring"</formula1>
    </dataValidation>
    <dataValidation type="list" sqref="O9:O28" xr:uid="{00000000-0002-0000-0200-000003000000}">
      <formula1>"Monthly,Quarterly,Half-Yearly,Annually"</formula1>
    </dataValidation>
    <dataValidation type="list" sqref="R9:R28" xr:uid="{00000000-0002-0000-0200-000004000000}">
      <formula1>"Years,Months"</formula1>
    </dataValidation>
    <dataValidation type="list" sqref="E9:E28" xr:uid="{00000000-0002-0000-0200-000005000000}">
      <formula1>"Self,Spouse,Child 1,Child 2,Parent"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L15"/>
  <sheetViews>
    <sheetView showGridLines="0" workbookViewId="0">
      <selection sqref="A1:L1"/>
    </sheetView>
  </sheetViews>
  <sheetFormatPr defaultRowHeight="14.4" x14ac:dyDescent="0.3"/>
  <cols>
    <col min="1" max="1" width="5" customWidth="1"/>
    <col min="2" max="4" width="16" customWidth="1"/>
    <col min="5" max="5" width="14" customWidth="1"/>
    <col min="6" max="6" width="12" customWidth="1"/>
    <col min="7" max="7" width="14" customWidth="1"/>
    <col min="8" max="8" width="16" customWidth="1"/>
    <col min="9" max="9" width="14" customWidth="1"/>
    <col min="10" max="10" width="10" customWidth="1"/>
    <col min="11" max="11" width="20" customWidth="1"/>
  </cols>
  <sheetData>
    <row r="1" spans="1:12" ht="49.95" customHeight="1" x14ac:dyDescent="0.3">
      <c r="A1" s="90" t="s">
        <v>280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5.95" customHeight="1" x14ac:dyDescent="0.3">
      <c r="A2" s="84" t="s">
        <v>281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4" spans="1:12" ht="27.6" x14ac:dyDescent="0.3">
      <c r="A4" s="32" t="s">
        <v>229</v>
      </c>
      <c r="B4" s="32" t="s">
        <v>282</v>
      </c>
      <c r="C4" s="32" t="s">
        <v>283</v>
      </c>
      <c r="D4" s="32" t="s">
        <v>284</v>
      </c>
      <c r="E4" s="32" t="s">
        <v>285</v>
      </c>
      <c r="F4" s="32" t="s">
        <v>286</v>
      </c>
      <c r="G4" s="32" t="s">
        <v>287</v>
      </c>
      <c r="H4" s="32" t="s">
        <v>288</v>
      </c>
      <c r="I4" s="32" t="s">
        <v>289</v>
      </c>
      <c r="J4" s="32" t="s">
        <v>290</v>
      </c>
      <c r="K4" s="32" t="s">
        <v>203</v>
      </c>
    </row>
    <row r="5" spans="1:12" x14ac:dyDescent="0.3">
      <c r="A5" s="26">
        <v>1</v>
      </c>
      <c r="B5" s="27" t="s">
        <v>291</v>
      </c>
      <c r="C5" s="27" t="s">
        <v>292</v>
      </c>
      <c r="D5" s="28">
        <v>3500000</v>
      </c>
      <c r="E5" s="28">
        <v>32000</v>
      </c>
      <c r="F5" s="29">
        <v>8.5000000000000006E-2</v>
      </c>
      <c r="G5" s="27">
        <v>180</v>
      </c>
      <c r="H5" s="33">
        <f>E5*G5</f>
        <v>5760000</v>
      </c>
      <c r="I5" s="34">
        <f>H5-D5</f>
        <v>2260000</v>
      </c>
      <c r="J5" s="35" t="str">
        <f>IF(F5&gt;=0.15,"🔴 HIGH",IF(F5&gt;=0.1,"🟡 MED","🟢 LOW"))</f>
        <v>🟢 LOW</v>
      </c>
    </row>
    <row r="6" spans="1:12" x14ac:dyDescent="0.3">
      <c r="A6" s="26">
        <v>2</v>
      </c>
      <c r="B6" s="27" t="s">
        <v>293</v>
      </c>
      <c r="C6" s="27" t="s">
        <v>294</v>
      </c>
      <c r="D6" s="28">
        <v>450000</v>
      </c>
      <c r="E6" s="28">
        <v>12000</v>
      </c>
      <c r="F6" s="29">
        <v>9.1999999999999998E-2</v>
      </c>
      <c r="G6" s="27">
        <v>42</v>
      </c>
      <c r="H6" s="33">
        <f>E6*G6</f>
        <v>504000</v>
      </c>
      <c r="I6" s="34">
        <f>H6-D6</f>
        <v>54000</v>
      </c>
      <c r="J6" s="35" t="str">
        <f>IF(F6&gt;=0.15,"🔴 HIGH",IF(F6&gt;=0.1,"🟡 MED","🟢 LOW"))</f>
        <v>🟢 LOW</v>
      </c>
    </row>
    <row r="7" spans="1:12" x14ac:dyDescent="0.3">
      <c r="A7" s="26">
        <v>3</v>
      </c>
      <c r="B7" s="27" t="s">
        <v>295</v>
      </c>
      <c r="C7" s="27" t="s">
        <v>296</v>
      </c>
      <c r="D7" s="28">
        <v>200000</v>
      </c>
      <c r="E7" s="28">
        <v>8000</v>
      </c>
      <c r="F7" s="29">
        <v>0.14000000000000001</v>
      </c>
      <c r="G7" s="27">
        <v>28</v>
      </c>
      <c r="H7" s="33">
        <f>E7*G7</f>
        <v>224000</v>
      </c>
      <c r="I7" s="34">
        <f>H7-D7</f>
        <v>24000</v>
      </c>
      <c r="J7" s="35" t="str">
        <f>IF(F7&gt;=0.15,"🔴 HIGH",IF(F7&gt;=0.1,"🟡 MED","🟢 LOW"))</f>
        <v>🟡 MED</v>
      </c>
    </row>
    <row r="8" spans="1:12" x14ac:dyDescent="0.3">
      <c r="A8" s="26">
        <v>4</v>
      </c>
      <c r="B8" s="27" t="s">
        <v>297</v>
      </c>
      <c r="C8" s="27" t="s">
        <v>298</v>
      </c>
      <c r="D8" s="28">
        <v>85000</v>
      </c>
      <c r="E8" s="28">
        <v>5000</v>
      </c>
      <c r="F8" s="29">
        <v>0.36</v>
      </c>
      <c r="G8" s="27">
        <v>0</v>
      </c>
      <c r="H8" s="33">
        <f>E8*G8</f>
        <v>0</v>
      </c>
      <c r="I8" s="34">
        <f>H8-D8</f>
        <v>-85000</v>
      </c>
      <c r="J8" s="35" t="str">
        <f>IF(F8&gt;=0.15,"🔴 HIGH",IF(F8&gt;=0.1,"🟡 MED","🟢 LOW"))</f>
        <v>🔴 HIGH</v>
      </c>
    </row>
    <row r="10" spans="1:12" ht="17.399999999999999" x14ac:dyDescent="0.35">
      <c r="A10" s="36" t="s">
        <v>299</v>
      </c>
    </row>
    <row r="11" spans="1:12" ht="55.2" x14ac:dyDescent="0.3">
      <c r="A11" s="4" t="s">
        <v>300</v>
      </c>
      <c r="C11" s="23">
        <f>SUM(D5:D8)</f>
        <v>4235000</v>
      </c>
    </row>
    <row r="12" spans="1:12" ht="55.2" x14ac:dyDescent="0.3">
      <c r="A12" s="4" t="s">
        <v>301</v>
      </c>
      <c r="C12" s="23">
        <f>SUM(E5:E8)</f>
        <v>57000</v>
      </c>
    </row>
    <row r="13" spans="1:12" ht="55.2" x14ac:dyDescent="0.3">
      <c r="A13" s="4" t="s">
        <v>302</v>
      </c>
      <c r="C13" s="23">
        <f>SUM(I5:I8)</f>
        <v>2253000</v>
      </c>
    </row>
    <row r="14" spans="1:12" ht="82.8" x14ac:dyDescent="0.3">
      <c r="A14" s="4" t="s">
        <v>303</v>
      </c>
      <c r="C14" s="25">
        <f>IF(Investment_Input!C4=0,0,SUM(D5:D8)/Investment_Input!C4)</f>
        <v>1.0291616038882139</v>
      </c>
    </row>
    <row r="15" spans="1:12" ht="82.8" x14ac:dyDescent="0.3">
      <c r="A15" s="4" t="s">
        <v>304</v>
      </c>
      <c r="C15" s="37">
        <f>IF(Assumptions_Config!$D$17=0,0,SUM(D5:D8)/Assumptions_Config!$D$17)</f>
        <v>2.3527777777777779</v>
      </c>
    </row>
  </sheetData>
  <mergeCells count="2">
    <mergeCell ref="A2:L2"/>
    <mergeCell ref="A1:L1"/>
  </mergeCells>
  <dataValidations count="1">
    <dataValidation type="list" sqref="B5 B6 B7 B8" xr:uid="{00000000-0002-0000-0300-000000000000}">
      <formula1>"Home Loan,Car Loan,Personal Loan,Education Loan,Credit Card,Gold Loan,Other"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BC9C"/>
  </sheetPr>
  <dimension ref="A1:J35"/>
  <sheetViews>
    <sheetView showGridLines="0" workbookViewId="0">
      <selection sqref="A1:J1"/>
    </sheetView>
  </sheetViews>
  <sheetFormatPr defaultRowHeight="14.4" x14ac:dyDescent="0.3"/>
  <cols>
    <col min="1" max="1" width="20" customWidth="1"/>
    <col min="2" max="2" width="18" customWidth="1"/>
    <col min="3" max="3" width="14" customWidth="1"/>
    <col min="4" max="4" width="24" customWidth="1"/>
  </cols>
  <sheetData>
    <row r="1" spans="1:10" ht="49.95" customHeight="1" x14ac:dyDescent="0.3">
      <c r="A1" s="91" t="s">
        <v>305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5.95" customHeight="1" x14ac:dyDescent="0.3">
      <c r="A2" s="84" t="s">
        <v>306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ht="28.05" customHeight="1" x14ac:dyDescent="0.3">
      <c r="A4" s="80" t="s">
        <v>307</v>
      </c>
      <c r="B4" s="81"/>
      <c r="C4" s="81"/>
      <c r="D4" s="81"/>
      <c r="E4" s="81"/>
      <c r="F4" s="81"/>
      <c r="G4" s="81"/>
      <c r="H4" s="81"/>
      <c r="I4" s="81"/>
      <c r="J4" s="81"/>
    </row>
    <row r="5" spans="1:10" x14ac:dyDescent="0.3">
      <c r="A5" s="38" t="s">
        <v>308</v>
      </c>
      <c r="B5" s="38" t="s">
        <v>309</v>
      </c>
      <c r="C5" s="38" t="s">
        <v>150</v>
      </c>
      <c r="D5" s="38" t="s">
        <v>203</v>
      </c>
    </row>
    <row r="6" spans="1:10" x14ac:dyDescent="0.3">
      <c r="A6" s="27" t="s">
        <v>310</v>
      </c>
      <c r="B6" s="28">
        <v>120000</v>
      </c>
      <c r="C6" s="27" t="s">
        <v>311</v>
      </c>
      <c r="D6" s="27" t="s">
        <v>312</v>
      </c>
    </row>
    <row r="7" spans="1:10" x14ac:dyDescent="0.3">
      <c r="A7" s="27" t="s">
        <v>313</v>
      </c>
      <c r="B7" s="28">
        <v>15000</v>
      </c>
      <c r="C7" s="27" t="s">
        <v>314</v>
      </c>
      <c r="D7" s="27" t="s">
        <v>315</v>
      </c>
    </row>
    <row r="8" spans="1:10" x14ac:dyDescent="0.3">
      <c r="A8" s="27" t="s">
        <v>316</v>
      </c>
      <c r="B8" s="28">
        <v>20000</v>
      </c>
      <c r="C8" s="27" t="s">
        <v>317</v>
      </c>
      <c r="D8" s="27" t="s">
        <v>318</v>
      </c>
    </row>
    <row r="9" spans="1:10" x14ac:dyDescent="0.3">
      <c r="A9" s="27" t="s">
        <v>319</v>
      </c>
      <c r="B9" s="28">
        <v>3000</v>
      </c>
      <c r="C9" s="27" t="s">
        <v>314</v>
      </c>
      <c r="D9" s="27" t="s">
        <v>320</v>
      </c>
    </row>
    <row r="11" spans="1:10" x14ac:dyDescent="0.3">
      <c r="A11" s="39" t="s">
        <v>321</v>
      </c>
      <c r="B11" s="40">
        <f>SUM(B6:B9)</f>
        <v>158000</v>
      </c>
    </row>
    <row r="13" spans="1:10" ht="28.05" customHeight="1" x14ac:dyDescent="0.3">
      <c r="A13" s="80" t="s">
        <v>322</v>
      </c>
      <c r="B13" s="81"/>
      <c r="C13" s="81"/>
      <c r="D13" s="81"/>
      <c r="E13" s="81"/>
      <c r="F13" s="81"/>
      <c r="G13" s="81"/>
      <c r="H13" s="81"/>
      <c r="I13" s="81"/>
      <c r="J13" s="81"/>
    </row>
    <row r="14" spans="1:10" x14ac:dyDescent="0.3">
      <c r="A14" s="32" t="s">
        <v>323</v>
      </c>
      <c r="B14" s="32" t="s">
        <v>309</v>
      </c>
      <c r="C14" s="32" t="s">
        <v>324</v>
      </c>
      <c r="D14" s="32" t="s">
        <v>203</v>
      </c>
    </row>
    <row r="15" spans="1:10" x14ac:dyDescent="0.3">
      <c r="A15" s="27" t="s">
        <v>325</v>
      </c>
      <c r="B15" s="28">
        <v>32000</v>
      </c>
      <c r="C15" s="27" t="s">
        <v>250</v>
      </c>
      <c r="D15" s="27" t="s">
        <v>326</v>
      </c>
    </row>
    <row r="16" spans="1:10" x14ac:dyDescent="0.3">
      <c r="A16" s="27" t="s">
        <v>327</v>
      </c>
      <c r="B16" s="28">
        <v>15000</v>
      </c>
      <c r="C16" s="27" t="s">
        <v>250</v>
      </c>
      <c r="D16" s="27" t="s">
        <v>328</v>
      </c>
    </row>
    <row r="17" spans="1:10" x14ac:dyDescent="0.3">
      <c r="A17" s="27" t="s">
        <v>329</v>
      </c>
      <c r="B17" s="28">
        <v>5000</v>
      </c>
      <c r="C17" s="27" t="s">
        <v>250</v>
      </c>
      <c r="D17" s="27" t="s">
        <v>330</v>
      </c>
    </row>
    <row r="18" spans="1:10" x14ac:dyDescent="0.3">
      <c r="A18" s="27" t="s">
        <v>331</v>
      </c>
      <c r="B18" s="28">
        <v>4000</v>
      </c>
      <c r="C18" s="27" t="s">
        <v>250</v>
      </c>
      <c r="D18" s="27" t="s">
        <v>332</v>
      </c>
    </row>
    <row r="19" spans="1:10" x14ac:dyDescent="0.3">
      <c r="A19" s="27" t="s">
        <v>333</v>
      </c>
      <c r="B19" s="28">
        <v>12000</v>
      </c>
      <c r="C19" s="27" t="s">
        <v>250</v>
      </c>
      <c r="D19" s="27" t="s">
        <v>334</v>
      </c>
    </row>
    <row r="20" spans="1:10" x14ac:dyDescent="0.3">
      <c r="A20" s="27" t="s">
        <v>335</v>
      </c>
      <c r="B20" s="28">
        <v>6000</v>
      </c>
      <c r="C20" s="27" t="s">
        <v>336</v>
      </c>
      <c r="D20" s="27" t="s">
        <v>337</v>
      </c>
    </row>
    <row r="21" spans="1:10" x14ac:dyDescent="0.3">
      <c r="A21" s="27" t="s">
        <v>338</v>
      </c>
      <c r="B21" s="28">
        <v>15000</v>
      </c>
      <c r="C21" s="27" t="s">
        <v>254</v>
      </c>
      <c r="D21" s="27" t="s">
        <v>339</v>
      </c>
    </row>
    <row r="22" spans="1:10" x14ac:dyDescent="0.3">
      <c r="A22" s="27" t="s">
        <v>340</v>
      </c>
      <c r="B22" s="28">
        <v>5000</v>
      </c>
      <c r="C22" s="27" t="s">
        <v>254</v>
      </c>
      <c r="D22" s="27" t="s">
        <v>341</v>
      </c>
    </row>
    <row r="24" spans="1:10" x14ac:dyDescent="0.3">
      <c r="A24" s="39" t="s">
        <v>342</v>
      </c>
      <c r="B24" s="34">
        <f>SUM(B15:B22)</f>
        <v>94000</v>
      </c>
    </row>
    <row r="26" spans="1:10" ht="28.05" customHeight="1" x14ac:dyDescent="0.3">
      <c r="A26" s="80" t="s">
        <v>343</v>
      </c>
      <c r="B26" s="81"/>
      <c r="C26" s="81"/>
      <c r="D26" s="81"/>
      <c r="E26" s="81"/>
      <c r="F26" s="81"/>
      <c r="G26" s="81"/>
      <c r="H26" s="81"/>
      <c r="I26" s="81"/>
      <c r="J26" s="81"/>
    </row>
    <row r="28" spans="1:10" x14ac:dyDescent="0.3">
      <c r="A28" s="4" t="s">
        <v>344</v>
      </c>
      <c r="B28" s="41">
        <f>B11</f>
        <v>158000</v>
      </c>
    </row>
    <row r="29" spans="1:10" x14ac:dyDescent="0.3">
      <c r="A29" s="4" t="s">
        <v>345</v>
      </c>
      <c r="B29" s="42">
        <f>B24</f>
        <v>94000</v>
      </c>
    </row>
    <row r="30" spans="1:10" x14ac:dyDescent="0.3">
      <c r="A30" s="4" t="s">
        <v>346</v>
      </c>
      <c r="B30" s="42">
        <f>Debt_Tracker!C12</f>
        <v>57000</v>
      </c>
    </row>
    <row r="31" spans="1:10" ht="27.6" x14ac:dyDescent="0.3">
      <c r="A31" s="4" t="s">
        <v>347</v>
      </c>
      <c r="B31" s="43">
        <f>Investment_Input!C5</f>
        <v>27000</v>
      </c>
    </row>
    <row r="32" spans="1:10" x14ac:dyDescent="0.3">
      <c r="A32" s="4" t="s">
        <v>348</v>
      </c>
      <c r="B32" s="23">
        <f>B28-B29-B30-B31</f>
        <v>-20000</v>
      </c>
    </row>
    <row r="33" spans="1:2" x14ac:dyDescent="0.3">
      <c r="A33" s="4" t="s">
        <v>349</v>
      </c>
      <c r="B33" s="25">
        <f>IF(B28=0,0,(B28-B29)/B28)</f>
        <v>0.4050632911392405</v>
      </c>
    </row>
    <row r="34" spans="1:2" x14ac:dyDescent="0.3">
      <c r="A34" s="4" t="s">
        <v>350</v>
      </c>
      <c r="B34" s="25">
        <f>IF(B28=0,0,B31/B28)</f>
        <v>0.17088607594936708</v>
      </c>
    </row>
    <row r="35" spans="1:2" x14ac:dyDescent="0.3">
      <c r="A35" s="4" t="s">
        <v>351</v>
      </c>
      <c r="B35" s="41">
        <f>B32</f>
        <v>-20000</v>
      </c>
    </row>
  </sheetData>
  <mergeCells count="5">
    <mergeCell ref="A1:J1"/>
    <mergeCell ref="A4:J4"/>
    <mergeCell ref="A26:J26"/>
    <mergeCell ref="A2:J2"/>
    <mergeCell ref="A13:J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K9"/>
  <sheetViews>
    <sheetView showGridLines="0" workbookViewId="0">
      <selection sqref="A1:K1"/>
    </sheetView>
  </sheetViews>
  <sheetFormatPr defaultRowHeight="14.4" x14ac:dyDescent="0.3"/>
  <cols>
    <col min="1" max="1" width="5" customWidth="1"/>
    <col min="2" max="2" width="20" customWidth="1"/>
    <col min="3" max="3" width="14" customWidth="1"/>
    <col min="4" max="4" width="10" customWidth="1"/>
    <col min="5" max="5" width="16" customWidth="1"/>
    <col min="6" max="6" width="14" customWidth="1"/>
    <col min="7" max="9" width="10" customWidth="1"/>
    <col min="10" max="10" width="16" customWidth="1"/>
    <col min="11" max="11" width="20" customWidth="1"/>
  </cols>
  <sheetData>
    <row r="1" spans="1:11" ht="49.95" customHeight="1" x14ac:dyDescent="0.3">
      <c r="A1" s="90" t="s">
        <v>352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25.95" customHeight="1" x14ac:dyDescent="0.3">
      <c r="A2" s="84" t="s">
        <v>353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x14ac:dyDescent="0.3">
      <c r="A4" s="32" t="s">
        <v>229</v>
      </c>
      <c r="B4" s="32" t="s">
        <v>354</v>
      </c>
      <c r="C4" s="32" t="s">
        <v>323</v>
      </c>
      <c r="D4" s="32" t="s">
        <v>355</v>
      </c>
      <c r="E4" s="32" t="s">
        <v>356</v>
      </c>
      <c r="F4" s="32" t="s">
        <v>357</v>
      </c>
      <c r="G4" s="32" t="s">
        <v>358</v>
      </c>
      <c r="H4" s="32" t="s">
        <v>359</v>
      </c>
      <c r="I4" s="32" t="s">
        <v>360</v>
      </c>
      <c r="J4" s="32" t="s">
        <v>361</v>
      </c>
      <c r="K4" s="32" t="s">
        <v>203</v>
      </c>
    </row>
    <row r="5" spans="1:11" x14ac:dyDescent="0.3">
      <c r="A5" s="26">
        <v>1</v>
      </c>
      <c r="B5" s="27" t="s">
        <v>362</v>
      </c>
      <c r="C5" s="27" t="s">
        <v>363</v>
      </c>
      <c r="D5" s="27">
        <v>2035</v>
      </c>
      <c r="E5" s="28">
        <v>3000000</v>
      </c>
      <c r="F5" s="27" t="s">
        <v>364</v>
      </c>
      <c r="G5" s="27" t="s">
        <v>250</v>
      </c>
      <c r="H5" s="44">
        <f>IF(G5="Yes",Assumptions_Config!$D$5,0)</f>
        <v>0.1</v>
      </c>
      <c r="I5" s="45">
        <f>MAX(D5-2026,0)</f>
        <v>9</v>
      </c>
      <c r="J5" s="46">
        <f>IF(F5="Future Value",E5,IF(G5="Yes",E5*(1+Assumptions_Config!$D$5)^I5,E5))</f>
        <v>7073843.0730000045</v>
      </c>
    </row>
    <row r="6" spans="1:11" x14ac:dyDescent="0.3">
      <c r="A6" s="26">
        <v>2</v>
      </c>
      <c r="B6" s="27" t="s">
        <v>365</v>
      </c>
      <c r="C6" s="27" t="s">
        <v>366</v>
      </c>
      <c r="D6" s="27">
        <v>2028</v>
      </c>
      <c r="E6" s="28">
        <v>2500000</v>
      </c>
      <c r="F6" s="27" t="s">
        <v>364</v>
      </c>
      <c r="G6" s="27" t="s">
        <v>250</v>
      </c>
      <c r="H6" s="44">
        <f>IF(G6="Yes",Assumptions_Config!$D$5,0)</f>
        <v>0.1</v>
      </c>
      <c r="I6" s="45">
        <f>MAX(D6-2026,0)</f>
        <v>2</v>
      </c>
      <c r="J6" s="46">
        <f>IF(F6="Future Value",E6,IF(G6="Yes",E6*(1+Assumptions_Config!$D$5)^I6,E6))</f>
        <v>3025000.0000000005</v>
      </c>
    </row>
    <row r="7" spans="1:11" x14ac:dyDescent="0.3">
      <c r="A7" s="26">
        <v>3</v>
      </c>
      <c r="B7" s="27" t="s">
        <v>367</v>
      </c>
      <c r="C7" s="27" t="s">
        <v>368</v>
      </c>
      <c r="D7" s="27">
        <v>2030</v>
      </c>
      <c r="E7" s="28">
        <v>1500000</v>
      </c>
      <c r="F7" s="27" t="s">
        <v>361</v>
      </c>
      <c r="G7" s="27" t="s">
        <v>254</v>
      </c>
      <c r="H7" s="44">
        <f>IF(G7="Yes",Assumptions_Config!$D$5,0)</f>
        <v>0</v>
      </c>
      <c r="I7" s="45">
        <f>MAX(D7-2026,0)</f>
        <v>4</v>
      </c>
      <c r="J7" s="46">
        <f>IF(F7="Future Value",E7,IF(G7="Yes",E7*(1+Assumptions_Config!$D$5)^I7,E7))</f>
        <v>1500000</v>
      </c>
    </row>
    <row r="8" spans="1:11" x14ac:dyDescent="0.3">
      <c r="A8" s="26">
        <v>4</v>
      </c>
      <c r="B8" s="27" t="s">
        <v>369</v>
      </c>
      <c r="C8" s="27" t="s">
        <v>370</v>
      </c>
      <c r="D8" s="27">
        <v>2032</v>
      </c>
      <c r="E8" s="28">
        <v>2000000</v>
      </c>
      <c r="F8" s="27" t="s">
        <v>364</v>
      </c>
      <c r="G8" s="27" t="s">
        <v>250</v>
      </c>
      <c r="H8" s="44">
        <f>IF(G8="Yes",Assumptions_Config!$D$5,0)</f>
        <v>0.1</v>
      </c>
      <c r="I8" s="45">
        <f>MAX(D8-2026,0)</f>
        <v>6</v>
      </c>
      <c r="J8" s="46">
        <f>IF(F8="Future Value",E8,IF(G8="Yes",E8*(1+Assumptions_Config!$D$5)^I8,E8))</f>
        <v>3543122.0000000019</v>
      </c>
    </row>
    <row r="9" spans="1:11" x14ac:dyDescent="0.3">
      <c r="A9" s="26">
        <v>5</v>
      </c>
      <c r="B9" s="27" t="s">
        <v>371</v>
      </c>
      <c r="C9" s="27" t="s">
        <v>372</v>
      </c>
      <c r="D9" s="27">
        <v>2027</v>
      </c>
      <c r="E9" s="28">
        <v>500000</v>
      </c>
      <c r="F9" s="27" t="s">
        <v>364</v>
      </c>
      <c r="G9" s="27" t="s">
        <v>250</v>
      </c>
      <c r="H9" s="44">
        <f>IF(G9="Yes",Assumptions_Config!$D$5,0)</f>
        <v>0.1</v>
      </c>
      <c r="I9" s="45">
        <f>MAX(D9-2026,0)</f>
        <v>1</v>
      </c>
      <c r="J9" s="46">
        <f>IF(F9="Future Value",E9,IF(G9="Yes",E9*(1+Assumptions_Config!$D$5)^I9,E9))</f>
        <v>550000</v>
      </c>
    </row>
  </sheetData>
  <mergeCells count="2">
    <mergeCell ref="A2:K2"/>
    <mergeCell ref="A1:K1"/>
  </mergeCells>
  <dataValidations count="3">
    <dataValidation type="list" sqref="C5 C6 C7 C8 C9" xr:uid="{00000000-0002-0000-0500-000000000000}">
      <formula1>"Wedding,House,Car,Education,Medical,Travel,Retirement,Other"</formula1>
    </dataValidation>
    <dataValidation type="list" sqref="F5 F6 F7 F8 F9" xr:uid="{00000000-0002-0000-0500-000001000000}">
      <formula1>"Todays Value,Future Value"</formula1>
    </dataValidation>
    <dataValidation type="list" sqref="G5 G6 G7 G8 G9" xr:uid="{00000000-0002-0000-0500-000002000000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90D9"/>
  </sheetPr>
  <dimension ref="A1:L9"/>
  <sheetViews>
    <sheetView showGridLines="0" workbookViewId="0">
      <selection sqref="A1:L1"/>
    </sheetView>
  </sheetViews>
  <sheetFormatPr defaultRowHeight="14.4" x14ac:dyDescent="0.3"/>
  <cols>
    <col min="1" max="1" width="20" customWidth="1"/>
    <col min="2" max="2" width="16" customWidth="1"/>
    <col min="3" max="3" width="12" customWidth="1"/>
    <col min="4" max="5" width="16" customWidth="1"/>
    <col min="6" max="6" width="10" customWidth="1"/>
    <col min="7" max="9" width="16" customWidth="1"/>
    <col min="10" max="10" width="10" customWidth="1"/>
    <col min="11" max="11" width="12" customWidth="1"/>
  </cols>
  <sheetData>
    <row r="1" spans="1:12" ht="49.95" customHeight="1" x14ac:dyDescent="0.3">
      <c r="A1" s="92" t="s">
        <v>373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5.95" customHeight="1" x14ac:dyDescent="0.3">
      <c r="A2" s="84" t="s">
        <v>374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4" spans="1:12" x14ac:dyDescent="0.3">
      <c r="A4" s="47" t="s">
        <v>375</v>
      </c>
      <c r="B4" s="47" t="s">
        <v>376</v>
      </c>
      <c r="C4" s="47" t="s">
        <v>377</v>
      </c>
      <c r="D4" s="47" t="s">
        <v>378</v>
      </c>
      <c r="E4" s="47" t="s">
        <v>379</v>
      </c>
      <c r="F4" s="47" t="s">
        <v>380</v>
      </c>
      <c r="G4" s="47" t="s">
        <v>381</v>
      </c>
      <c r="H4" s="47" t="s">
        <v>382</v>
      </c>
      <c r="I4" s="47" t="s">
        <v>383</v>
      </c>
      <c r="J4" s="47" t="s">
        <v>384</v>
      </c>
      <c r="K4" s="47" t="s">
        <v>385</v>
      </c>
    </row>
    <row r="5" spans="1:12" x14ac:dyDescent="0.3">
      <c r="A5" s="27" t="s">
        <v>386</v>
      </c>
      <c r="B5" s="28">
        <v>50000000</v>
      </c>
      <c r="C5" s="27">
        <v>2050</v>
      </c>
      <c r="D5" s="28">
        <v>350000</v>
      </c>
      <c r="E5" s="28">
        <v>17000</v>
      </c>
      <c r="F5" s="35">
        <f>MAX(C5-2026,0)</f>
        <v>24</v>
      </c>
      <c r="G5" s="33">
        <f>B5*(1+Assumptions_Config!$D$5)^F5</f>
        <v>492486633.79038131</v>
      </c>
      <c r="H5" s="33">
        <f>D5*(1+Assumptions_Config!$D$63)^F5+IF(F5&gt;0,E5*((1+Assumptions_Config!$D$63/12)^(F5*12)-1)/(Assumptions_Config!$D$63/12),0)</f>
        <v>23672163.297706597</v>
      </c>
      <c r="I5" s="34">
        <f>G5-H5</f>
        <v>468814470.49267471</v>
      </c>
      <c r="J5" s="48">
        <f>IF(G5=0,0,MIN(H5/G5,1))</f>
        <v>4.8066610692590404E-2</v>
      </c>
      <c r="K5" s="35" t="str">
        <f>IF(J5&gt;=0.9,"🟢 On Track",IF(J5&gt;=0.6,"🟡 At Risk","🔴 Behind"))</f>
        <v>🔴 Behind</v>
      </c>
    </row>
    <row r="6" spans="1:12" x14ac:dyDescent="0.3">
      <c r="A6" s="27" t="s">
        <v>387</v>
      </c>
      <c r="B6" s="28">
        <v>5000000</v>
      </c>
      <c r="C6" s="27">
        <v>2035</v>
      </c>
      <c r="D6" s="28">
        <v>200000</v>
      </c>
      <c r="E6" s="28">
        <v>5000</v>
      </c>
      <c r="F6" s="35">
        <f>MAX(C6-2026,0)</f>
        <v>9</v>
      </c>
      <c r="G6" s="33">
        <f>B6*(1+Assumptions_Config!$D$5)^F6</f>
        <v>11789738.455000008</v>
      </c>
      <c r="H6" s="33">
        <f>D6*(1+Assumptions_Config!$D$63)^F6+IF(F6&gt;0,E6*((1+Assumptions_Config!$D$63/12)^(F6*12)-1)/(Assumptions_Config!$D$63/12),0)</f>
        <v>1341858.1014924808</v>
      </c>
      <c r="I6" s="34">
        <f>G6-H6</f>
        <v>10447880.353507526</v>
      </c>
      <c r="J6" s="48">
        <f>IF(G6=0,0,MIN(H6/G6,1))</f>
        <v>0.11381576500735699</v>
      </c>
      <c r="K6" s="35" t="str">
        <f>IF(J6&gt;=0.9,"🟢 On Track",IF(J6&gt;=0.6,"🟡 At Risk","🔴 Behind"))</f>
        <v>🔴 Behind</v>
      </c>
    </row>
    <row r="7" spans="1:12" x14ac:dyDescent="0.3">
      <c r="A7" s="27" t="s">
        <v>388</v>
      </c>
      <c r="B7" s="28">
        <v>15000000</v>
      </c>
      <c r="C7" s="27">
        <v>2030</v>
      </c>
      <c r="D7" s="28">
        <v>2500000</v>
      </c>
      <c r="E7" s="28">
        <v>10000</v>
      </c>
      <c r="F7" s="35">
        <f>MAX(C7-2026,0)</f>
        <v>4</v>
      </c>
      <c r="G7" s="33">
        <f>B7*(1+Assumptions_Config!$D$5)^F7</f>
        <v>21961500.000000007</v>
      </c>
      <c r="H7" s="33">
        <f>D7*(1+Assumptions_Config!$D$63)^F7+IF(F7&gt;0,E7*((1+Assumptions_Config!$D$63/12)^(F7*12)-1)/(Assumptions_Config!$D$63/12),0)</f>
        <v>4247474.9183285944</v>
      </c>
      <c r="I7" s="34">
        <f>G7-H7</f>
        <v>17714025.081671413</v>
      </c>
      <c r="J7" s="48">
        <f>IF(G7=0,0,MIN(H7/G7,1))</f>
        <v>0.19340550136960558</v>
      </c>
      <c r="K7" s="35" t="str">
        <f>IF(J7&gt;=0.9,"🟢 On Track",IF(J7&gt;=0.6,"🟡 At Risk","🔴 Behind"))</f>
        <v>🔴 Behind</v>
      </c>
    </row>
    <row r="8" spans="1:12" x14ac:dyDescent="0.3">
      <c r="A8" s="27" t="s">
        <v>389</v>
      </c>
      <c r="B8" s="28">
        <v>480000</v>
      </c>
      <c r="C8" s="27">
        <v>2027</v>
      </c>
      <c r="D8" s="28">
        <v>100000</v>
      </c>
      <c r="E8" s="28">
        <v>8000</v>
      </c>
      <c r="F8" s="35">
        <f>MAX(C8-2026,0)</f>
        <v>1</v>
      </c>
      <c r="G8" s="33">
        <f>B8*(1+Assumptions_Config!$D$5)^F8</f>
        <v>528000</v>
      </c>
      <c r="H8" s="33">
        <f>D8*(1+Assumptions_Config!$D$63)^F8+IF(F8&gt;0,E8*((1+Assumptions_Config!$D$63/12)^(F8*12)-1)/(Assumptions_Config!$D$63/12),0)</f>
        <v>210524.54474364498</v>
      </c>
      <c r="I8" s="34">
        <f>G8-H8</f>
        <v>317475.455256355</v>
      </c>
      <c r="J8" s="48">
        <f>IF(G8=0,0,MIN(H8/G8,1))</f>
        <v>0.39872072868114578</v>
      </c>
      <c r="K8" s="35" t="str">
        <f>IF(J8&gt;=0.9,"🟢 On Track",IF(J8&gt;=0.6,"🟡 At Risk","🔴 Behind"))</f>
        <v>🔴 Behind</v>
      </c>
    </row>
    <row r="9" spans="1:12" x14ac:dyDescent="0.3">
      <c r="A9" s="27" t="s">
        <v>390</v>
      </c>
      <c r="B9" s="28">
        <v>500000</v>
      </c>
      <c r="C9" s="27">
        <v>2027</v>
      </c>
      <c r="D9" s="28">
        <v>50000</v>
      </c>
      <c r="E9" s="28">
        <v>3000</v>
      </c>
      <c r="F9" s="35">
        <f>MAX(C9-2026,0)</f>
        <v>1</v>
      </c>
      <c r="G9" s="33">
        <f>B9*(1+Assumptions_Config!$D$5)^F9</f>
        <v>550000</v>
      </c>
      <c r="H9" s="33">
        <f>D9*(1+Assumptions_Config!$D$63)^F9+IF(F9&gt;0,E9*((1+Assumptions_Config!$D$63/12)^(F9*12)-1)/(Assumptions_Config!$D$63/12),0)</f>
        <v>92696.704278866862</v>
      </c>
      <c r="I9" s="34">
        <f>G9-H9</f>
        <v>457303.29572113312</v>
      </c>
      <c r="J9" s="48">
        <f>IF(G9=0,0,MIN(H9/G9,1))</f>
        <v>0.16853946232521247</v>
      </c>
      <c r="K9" s="35" t="str">
        <f>IF(J9&gt;=0.9,"🟢 On Track",IF(J9&gt;=0.6,"🟡 At Risk","🔴 Behind"))</f>
        <v>🔴 Behind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44AD"/>
  </sheetPr>
  <dimension ref="A1:J20"/>
  <sheetViews>
    <sheetView showGridLines="0" workbookViewId="0">
      <selection sqref="A1:J1"/>
    </sheetView>
  </sheetViews>
  <sheetFormatPr defaultRowHeight="14.4" x14ac:dyDescent="0.3"/>
  <cols>
    <col min="1" max="1" width="14" customWidth="1"/>
    <col min="2" max="3" width="16" customWidth="1"/>
    <col min="4" max="4" width="14" customWidth="1"/>
    <col min="5" max="5" width="10" customWidth="1"/>
    <col min="6" max="6" width="12" customWidth="1"/>
    <col min="7" max="7" width="20" customWidth="1"/>
  </cols>
  <sheetData>
    <row r="1" spans="1:10" ht="49.95" customHeight="1" x14ac:dyDescent="0.3">
      <c r="A1" s="93" t="s">
        <v>391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5.95" customHeight="1" x14ac:dyDescent="0.3">
      <c r="A2" s="84" t="s">
        <v>392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ht="27.6" x14ac:dyDescent="0.3">
      <c r="A4" s="49" t="s">
        <v>150</v>
      </c>
      <c r="B4" s="49" t="s">
        <v>393</v>
      </c>
      <c r="C4" s="49" t="s">
        <v>394</v>
      </c>
      <c r="D4" s="49" t="s">
        <v>395</v>
      </c>
      <c r="E4" s="49" t="s">
        <v>396</v>
      </c>
      <c r="F4" s="49" t="s">
        <v>397</v>
      </c>
      <c r="G4" s="49" t="s">
        <v>203</v>
      </c>
    </row>
    <row r="5" spans="1:10" x14ac:dyDescent="0.3">
      <c r="A5" s="27" t="s">
        <v>398</v>
      </c>
      <c r="B5" s="27" t="s">
        <v>399</v>
      </c>
      <c r="C5" s="28">
        <v>10000000</v>
      </c>
      <c r="D5" s="28">
        <v>12000</v>
      </c>
      <c r="E5" s="27">
        <v>2045</v>
      </c>
      <c r="F5" s="27" t="s">
        <v>400</v>
      </c>
      <c r="G5" s="27" t="s">
        <v>401</v>
      </c>
    </row>
    <row r="6" spans="1:10" x14ac:dyDescent="0.3">
      <c r="A6" s="27" t="s">
        <v>402</v>
      </c>
      <c r="B6" s="27" t="s">
        <v>403</v>
      </c>
      <c r="C6" s="28">
        <v>1000000</v>
      </c>
      <c r="D6" s="28">
        <v>18000</v>
      </c>
      <c r="E6" s="27">
        <v>2027</v>
      </c>
      <c r="F6" s="27" t="s">
        <v>404</v>
      </c>
      <c r="G6" s="27" t="s">
        <v>405</v>
      </c>
    </row>
    <row r="7" spans="1:10" x14ac:dyDescent="0.3">
      <c r="A7" s="27" t="s">
        <v>406</v>
      </c>
      <c r="B7" s="27" t="s">
        <v>407</v>
      </c>
      <c r="C7" s="28">
        <v>2500000</v>
      </c>
      <c r="D7" s="28">
        <v>8000</v>
      </c>
      <c r="E7" s="27">
        <v>2040</v>
      </c>
      <c r="F7" s="27" t="s">
        <v>400</v>
      </c>
      <c r="G7" s="27" t="s">
        <v>408</v>
      </c>
    </row>
    <row r="8" spans="1:10" ht="27.6" x14ac:dyDescent="0.3">
      <c r="A8" s="27" t="s">
        <v>409</v>
      </c>
      <c r="B8" s="27" t="s">
        <v>410</v>
      </c>
      <c r="C8" s="28">
        <v>800000</v>
      </c>
      <c r="D8" s="28">
        <v>9000</v>
      </c>
      <c r="E8" s="27">
        <v>2027</v>
      </c>
      <c r="F8" s="27" t="s">
        <v>411</v>
      </c>
      <c r="G8" s="27" t="s">
        <v>412</v>
      </c>
    </row>
    <row r="10" spans="1:10" ht="28.05" customHeight="1" x14ac:dyDescent="0.3">
      <c r="A10" s="80" t="s">
        <v>391</v>
      </c>
      <c r="B10" s="81"/>
      <c r="C10" s="81"/>
      <c r="D10" s="81"/>
      <c r="E10" s="81"/>
      <c r="F10" s="81"/>
      <c r="G10" s="81"/>
      <c r="H10" s="81"/>
      <c r="I10" s="81"/>
      <c r="J10" s="81"/>
    </row>
    <row r="12" spans="1:10" x14ac:dyDescent="0.3">
      <c r="A12" s="4" t="s">
        <v>413</v>
      </c>
      <c r="B12" s="23">
        <f>Assumptions_Config!$D$17</f>
        <v>1800000</v>
      </c>
    </row>
    <row r="13" spans="1:10" ht="41.4" x14ac:dyDescent="0.3">
      <c r="A13" s="4" t="s">
        <v>414</v>
      </c>
      <c r="B13" s="23">
        <f>Assumptions_Config!$D$17*10</f>
        <v>18000000</v>
      </c>
    </row>
    <row r="14" spans="1:10" ht="27.6" x14ac:dyDescent="0.3">
      <c r="A14" s="4" t="s">
        <v>415</v>
      </c>
      <c r="B14" s="23">
        <f>SUMPRODUCT((A5:A8="Term Life")*C5:C8)</f>
        <v>10000000</v>
      </c>
    </row>
    <row r="15" spans="1:10" x14ac:dyDescent="0.3">
      <c r="A15" s="4" t="s">
        <v>416</v>
      </c>
      <c r="B15" s="42">
        <f>B13-B14</f>
        <v>8000000</v>
      </c>
    </row>
    <row r="16" spans="1:10" ht="27.6" x14ac:dyDescent="0.3">
      <c r="A16" s="4" t="s">
        <v>417</v>
      </c>
      <c r="B16" s="23">
        <v>1000000</v>
      </c>
    </row>
    <row r="17" spans="1:2" ht="27.6" x14ac:dyDescent="0.3">
      <c r="A17" s="4" t="s">
        <v>418</v>
      </c>
      <c r="B17" s="23">
        <f>SUMPRODUCT((A5:A8="Health")*C5:C8)</f>
        <v>1000000</v>
      </c>
    </row>
    <row r="18" spans="1:2" ht="27.6" x14ac:dyDescent="0.3">
      <c r="A18" s="4" t="s">
        <v>419</v>
      </c>
      <c r="B18" s="42">
        <f>B16-B17</f>
        <v>0</v>
      </c>
    </row>
    <row r="19" spans="1:2" ht="27.6" x14ac:dyDescent="0.3">
      <c r="A19" s="4" t="s">
        <v>420</v>
      </c>
      <c r="B19" s="43">
        <f>SUM(D5:D8)</f>
        <v>47000</v>
      </c>
    </row>
    <row r="20" spans="1:2" ht="27.6" x14ac:dyDescent="0.3">
      <c r="A20" s="4" t="s">
        <v>421</v>
      </c>
      <c r="B20" s="25">
        <f>IF(Assumptions_Config!$D$17=0,0,B19/Assumptions_Config!$D$17)</f>
        <v>2.6111111111111113E-2</v>
      </c>
    </row>
  </sheetData>
  <mergeCells count="3">
    <mergeCell ref="A1:J1"/>
    <mergeCell ref="A10:J10"/>
    <mergeCell ref="A2:J2"/>
  </mergeCells>
  <dataValidations count="1">
    <dataValidation type="list" sqref="A5 A6 A7 A8" xr:uid="{00000000-0002-0000-0700-000000000000}">
      <formula1>"Term Life,Endowment,ULIP,Health,Critical Illness,Vehicle,Home,Other"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5D8DC"/>
  </sheetPr>
  <dimension ref="A1:V102"/>
  <sheetViews>
    <sheetView showGridLines="0" workbookViewId="0">
      <selection sqref="A1:V1"/>
    </sheetView>
  </sheetViews>
  <sheetFormatPr defaultRowHeight="14.4" x14ac:dyDescent="0.3"/>
  <cols>
    <col min="1" max="1" width="22" customWidth="1"/>
    <col min="2" max="4" width="14" customWidth="1"/>
    <col min="5" max="5" width="16" customWidth="1"/>
    <col min="6" max="6" width="14" customWidth="1"/>
    <col min="7" max="7" width="16" customWidth="1"/>
    <col min="8" max="8" width="10" customWidth="1"/>
    <col min="9" max="14" width="12" customWidth="1"/>
    <col min="15" max="15" width="13" customWidth="1"/>
    <col min="16" max="16" width="15" customWidth="1"/>
    <col min="17" max="20" width="12" customWidth="1"/>
  </cols>
  <sheetData>
    <row r="1" spans="1:22" ht="40.049999999999997" customHeight="1" x14ac:dyDescent="0.3">
      <c r="A1" s="94" t="s">
        <v>422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 spans="1:22" ht="25.95" customHeight="1" x14ac:dyDescent="0.3">
      <c r="A2" s="84" t="s">
        <v>423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4" spans="1:22" ht="28.05" customHeight="1" x14ac:dyDescent="0.3">
      <c r="A4" s="80" t="s">
        <v>424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</row>
    <row r="5" spans="1:22" x14ac:dyDescent="0.3">
      <c r="A5" s="1" t="s">
        <v>229</v>
      </c>
      <c r="B5" s="1" t="s">
        <v>311</v>
      </c>
      <c r="C5" s="1" t="s">
        <v>150</v>
      </c>
      <c r="D5" s="1" t="s">
        <v>152</v>
      </c>
      <c r="E5" s="1" t="s">
        <v>425</v>
      </c>
      <c r="F5" s="1" t="s">
        <v>159</v>
      </c>
      <c r="G5" s="1" t="s">
        <v>426</v>
      </c>
      <c r="H5" s="1" t="s">
        <v>427</v>
      </c>
      <c r="I5" s="1" t="s">
        <v>428</v>
      </c>
      <c r="J5" s="1" t="s">
        <v>249</v>
      </c>
      <c r="K5" s="1" t="s">
        <v>429</v>
      </c>
      <c r="L5" s="1" t="s">
        <v>430</v>
      </c>
      <c r="M5" s="1" t="s">
        <v>431</v>
      </c>
      <c r="N5" s="1" t="s">
        <v>432</v>
      </c>
      <c r="O5" s="1" t="s">
        <v>433</v>
      </c>
      <c r="P5" s="1" t="s">
        <v>434</v>
      </c>
      <c r="Q5" s="1" t="s">
        <v>435</v>
      </c>
      <c r="R5" s="1" t="s">
        <v>436</v>
      </c>
      <c r="S5" s="1" t="s">
        <v>437</v>
      </c>
      <c r="T5" s="1" t="s">
        <v>438</v>
      </c>
    </row>
    <row r="6" spans="1:22" x14ac:dyDescent="0.3">
      <c r="A6" s="26">
        <f>Investment_Input!A9</f>
        <v>1</v>
      </c>
      <c r="B6" s="26" t="str">
        <f>Investment_Input!B9</f>
        <v>Yes</v>
      </c>
      <c r="C6" s="26" t="str">
        <f>Investment_Input!C9</f>
        <v>SIP</v>
      </c>
      <c r="D6" s="26" t="str">
        <f>Investment_Input!G9</f>
        <v>Equity</v>
      </c>
      <c r="E6" s="26">
        <f>Investment_Input!I9</f>
        <v>125000</v>
      </c>
      <c r="F6" s="26">
        <f>Investment_Input!J9</f>
        <v>5000</v>
      </c>
      <c r="G6" s="26">
        <f>Investment_Input!M9</f>
        <v>0.12</v>
      </c>
      <c r="H6" s="26">
        <f>Investment_Input!N9</f>
        <v>0.1</v>
      </c>
      <c r="I6" s="26">
        <f>Investment_Input!U9</f>
        <v>15</v>
      </c>
      <c r="J6" s="26" t="str">
        <f>Investment_Input!AA9</f>
        <v>Yes</v>
      </c>
      <c r="K6" s="26">
        <f>Assumptions_Config!$D$8</f>
        <v>15</v>
      </c>
      <c r="L6" s="50">
        <f t="shared" ref="L6:L17" si="0">IF(B6&lt;&gt;"Yes",0,E6*(1+G6)^MIN(I6,K6))</f>
        <v>684195.71990713035</v>
      </c>
      <c r="M6" s="50">
        <f t="shared" ref="M6:M17" si="1">IF(OR(F6=0,B6&lt;&gt;"Yes"),0,IF(G6=0,F6*MIN(I6,K6)*12,F6*((1+G6/12)^(MIN(I6,K6)*12)-1)/(G6/12)*(1+G6/12)*(1+H6/2)))</f>
        <v>2649023.9974326151</v>
      </c>
      <c r="N6" s="50">
        <f t="shared" ref="N6:N17" si="2">L6+M6</f>
        <v>3333219.7173397457</v>
      </c>
      <c r="O6" s="50">
        <f>IF(K6&gt;I6,N6*(1+Assumptions_Config!$D$9)^(K6-I6),N6)</f>
        <v>3333219.7173397457</v>
      </c>
      <c r="P6" s="50">
        <f t="shared" ref="P6:P17" si="3">E6+IF(F6=0,0,F6*MIN(I6,K6)*12*(1+H6/2))</f>
        <v>1070000</v>
      </c>
      <c r="Q6" s="50">
        <f t="shared" ref="Q6:Q17" si="4">MAX(O6-P6,0)</f>
        <v>2263219.7173397457</v>
      </c>
      <c r="R6" s="50">
        <f>IF(J6="Yes",Q6*Assumptions_Config!$D$6,0)</f>
        <v>565804.92933493643</v>
      </c>
      <c r="S6" s="50">
        <f t="shared" ref="S6:S17" si="5">O6-R6</f>
        <v>2767414.7880048091</v>
      </c>
      <c r="T6" s="50">
        <f>S6/(1+Assumptions_Config!$D$5)^Assumptions_Config!$D$8</f>
        <v>662497.0975550001</v>
      </c>
    </row>
    <row r="7" spans="1:22" x14ac:dyDescent="0.3">
      <c r="A7" s="26">
        <f>Investment_Input!A10</f>
        <v>2</v>
      </c>
      <c r="B7" s="26" t="str">
        <f>Investment_Input!B10</f>
        <v>Yes</v>
      </c>
      <c r="C7" s="26" t="str">
        <f>Investment_Input!C10</f>
        <v>SIP</v>
      </c>
      <c r="D7" s="26" t="str">
        <f>Investment_Input!G10</f>
        <v>Equity</v>
      </c>
      <c r="E7" s="26">
        <f>Investment_Input!I10</f>
        <v>80000</v>
      </c>
      <c r="F7" s="26">
        <f>Investment_Input!J10</f>
        <v>3000</v>
      </c>
      <c r="G7" s="26">
        <f>Investment_Input!M10</f>
        <v>0.14000000000000001</v>
      </c>
      <c r="H7" s="26">
        <f>Investment_Input!N10</f>
        <v>0.05</v>
      </c>
      <c r="I7" s="26">
        <f>Investment_Input!U10</f>
        <v>10</v>
      </c>
      <c r="J7" s="26" t="str">
        <f>Investment_Input!AA10</f>
        <v>Yes</v>
      </c>
      <c r="K7" s="26">
        <f>Assumptions_Config!$D$8</f>
        <v>15</v>
      </c>
      <c r="L7" s="50">
        <f t="shared" si="0"/>
        <v>296577.70512948569</v>
      </c>
      <c r="M7" s="50">
        <f t="shared" si="1"/>
        <v>805931.00192680652</v>
      </c>
      <c r="N7" s="50">
        <f t="shared" si="2"/>
        <v>1102508.7070562923</v>
      </c>
      <c r="O7" s="50">
        <f>IF(K7&gt;I7,N7*(1+Assumptions_Config!$D$9)^(K7-I7),N7)</f>
        <v>1510532.4758374298</v>
      </c>
      <c r="P7" s="50">
        <f t="shared" si="3"/>
        <v>448999.99999999994</v>
      </c>
      <c r="Q7" s="50">
        <f t="shared" si="4"/>
        <v>1061532.4758374298</v>
      </c>
      <c r="R7" s="50">
        <f>IF(J7="Yes",Q7*Assumptions_Config!$D$6,0)</f>
        <v>265383.11895935744</v>
      </c>
      <c r="S7" s="50">
        <f t="shared" si="5"/>
        <v>1245149.3568780723</v>
      </c>
      <c r="T7" s="50">
        <f>S7/(1+Assumptions_Config!$D$5)^Assumptions_Config!$D$8</f>
        <v>298078.85631373752</v>
      </c>
    </row>
    <row r="8" spans="1:22" x14ac:dyDescent="0.3">
      <c r="A8" s="26">
        <f>Investment_Input!A11</f>
        <v>3</v>
      </c>
      <c r="B8" s="26" t="str">
        <f>Investment_Input!B11</f>
        <v>Yes</v>
      </c>
      <c r="C8" s="26" t="str">
        <f>Investment_Input!C11</f>
        <v>FD</v>
      </c>
      <c r="D8" s="26" t="str">
        <f>Investment_Input!G11</f>
        <v>Debt</v>
      </c>
      <c r="E8" s="26">
        <f>Investment_Input!I11</f>
        <v>500000</v>
      </c>
      <c r="F8" s="26">
        <f>Investment_Input!J11</f>
        <v>0</v>
      </c>
      <c r="G8" s="26">
        <f>Investment_Input!M11</f>
        <v>7.0999999999999994E-2</v>
      </c>
      <c r="H8" s="26">
        <f>Investment_Input!N11</f>
        <v>0</v>
      </c>
      <c r="I8" s="26">
        <f>Investment_Input!U11</f>
        <v>5</v>
      </c>
      <c r="J8" s="26" t="str">
        <f>Investment_Input!AA11</f>
        <v>Yes</v>
      </c>
      <c r="K8" s="26">
        <f>Assumptions_Config!$D$8</f>
        <v>15</v>
      </c>
      <c r="L8" s="50">
        <f t="shared" si="0"/>
        <v>704558.98631717544</v>
      </c>
      <c r="M8" s="50">
        <f t="shared" si="1"/>
        <v>0</v>
      </c>
      <c r="N8" s="50">
        <f t="shared" si="2"/>
        <v>704558.98631717544</v>
      </c>
      <c r="O8" s="50">
        <f>IF(K8&gt;I8,N8*(1+Assumptions_Config!$D$9)^(K8-I8),N8)</f>
        <v>1322554.0697081715</v>
      </c>
      <c r="P8" s="50">
        <f t="shared" si="3"/>
        <v>500000</v>
      </c>
      <c r="Q8" s="50">
        <f t="shared" si="4"/>
        <v>822554.06970817153</v>
      </c>
      <c r="R8" s="50">
        <f>IF(J8="Yes",Q8*Assumptions_Config!$D$6,0)</f>
        <v>205638.51742704288</v>
      </c>
      <c r="S8" s="50">
        <f t="shared" si="5"/>
        <v>1116915.5522811287</v>
      </c>
      <c r="T8" s="50">
        <f>S8/(1+Assumptions_Config!$D$5)^Assumptions_Config!$D$8</f>
        <v>267380.70303287037</v>
      </c>
    </row>
    <row r="9" spans="1:22" x14ac:dyDescent="0.3">
      <c r="A9" s="26">
        <f>Investment_Input!A12</f>
        <v>4</v>
      </c>
      <c r="B9" s="26" t="str">
        <f>Investment_Input!B12</f>
        <v>Yes</v>
      </c>
      <c r="C9" s="26" t="str">
        <f>Investment_Input!C12</f>
        <v>RD</v>
      </c>
      <c r="D9" s="26" t="str">
        <f>Investment_Input!G12</f>
        <v>Debt</v>
      </c>
      <c r="E9" s="26">
        <f>Investment_Input!I12</f>
        <v>60000</v>
      </c>
      <c r="F9" s="26">
        <f>Investment_Input!J12</f>
        <v>5000</v>
      </c>
      <c r="G9" s="26">
        <f>Investment_Input!M12</f>
        <v>6.5000000000000002E-2</v>
      </c>
      <c r="H9" s="26">
        <f>Investment_Input!N12</f>
        <v>0</v>
      </c>
      <c r="I9" s="26">
        <f>Investment_Input!U12</f>
        <v>4</v>
      </c>
      <c r="J9" s="26" t="str">
        <f>Investment_Input!AA12</f>
        <v>Yes</v>
      </c>
      <c r="K9" s="26">
        <f>Assumptions_Config!$D$8</f>
        <v>15</v>
      </c>
      <c r="L9" s="50">
        <f t="shared" si="0"/>
        <v>77187.98103749998</v>
      </c>
      <c r="M9" s="50">
        <f t="shared" si="1"/>
        <v>274729.73486645735</v>
      </c>
      <c r="N9" s="50">
        <f t="shared" si="2"/>
        <v>351917.71590395732</v>
      </c>
      <c r="O9" s="50">
        <f>IF(K9&gt;I9,N9*(1+Assumptions_Config!$D$9)^(K9-I9),N9)</f>
        <v>703536.79461433354</v>
      </c>
      <c r="P9" s="50">
        <f t="shared" si="3"/>
        <v>300000</v>
      </c>
      <c r="Q9" s="50">
        <f t="shared" si="4"/>
        <v>403536.79461433354</v>
      </c>
      <c r="R9" s="50">
        <f>IF(J9="Yes",Q9*Assumptions_Config!$D$6,0)</f>
        <v>100884.19865358339</v>
      </c>
      <c r="S9" s="50">
        <f t="shared" si="5"/>
        <v>602652.59596075013</v>
      </c>
      <c r="T9" s="50">
        <f>S9/(1+Assumptions_Config!$D$5)^Assumptions_Config!$D$8</f>
        <v>144270.24000469036</v>
      </c>
    </row>
    <row r="10" spans="1:22" x14ac:dyDescent="0.3">
      <c r="A10" s="26">
        <f>Investment_Input!A13</f>
        <v>5</v>
      </c>
      <c r="B10" s="26" t="str">
        <f>Investment_Input!B13</f>
        <v>Yes</v>
      </c>
      <c r="C10" s="26" t="str">
        <f>Investment_Input!C13</f>
        <v>PPF</v>
      </c>
      <c r="D10" s="26" t="str">
        <f>Investment_Input!G13</f>
        <v>Debt</v>
      </c>
      <c r="E10" s="26">
        <f>Investment_Input!I13</f>
        <v>200000</v>
      </c>
      <c r="F10" s="26">
        <f>Investment_Input!J13</f>
        <v>5000</v>
      </c>
      <c r="G10" s="26">
        <f>Investment_Input!M13</f>
        <v>7.0999999999999994E-2</v>
      </c>
      <c r="H10" s="26">
        <f>Investment_Input!N13</f>
        <v>0</v>
      </c>
      <c r="I10" s="26">
        <f>Investment_Input!U13</f>
        <v>12</v>
      </c>
      <c r="J10" s="26" t="str">
        <f>Investment_Input!AA13</f>
        <v>No</v>
      </c>
      <c r="K10" s="26">
        <f>Assumptions_Config!$D$8</f>
        <v>15</v>
      </c>
      <c r="L10" s="50">
        <f t="shared" si="0"/>
        <v>455516.00993816077</v>
      </c>
      <c r="M10" s="50">
        <f t="shared" si="1"/>
        <v>1137778.9065712711</v>
      </c>
      <c r="N10" s="50">
        <f t="shared" si="2"/>
        <v>1593294.9165094318</v>
      </c>
      <c r="O10" s="50">
        <f>IF(K10&gt;I10,N10*(1+Assumptions_Config!$D$9)^(K10-I10),N10)</f>
        <v>1924619.9969119739</v>
      </c>
      <c r="P10" s="50">
        <f t="shared" si="3"/>
        <v>920000</v>
      </c>
      <c r="Q10" s="50">
        <f t="shared" si="4"/>
        <v>1004619.9969119739</v>
      </c>
      <c r="R10" s="50">
        <f>IF(J10="Yes",Q10*Assumptions_Config!$D$6,0)</f>
        <v>0</v>
      </c>
      <c r="S10" s="50">
        <f t="shared" si="5"/>
        <v>1924619.9969119739</v>
      </c>
      <c r="T10" s="50">
        <f>S10/(1+Assumptions_Config!$D$5)^Assumptions_Config!$D$8</f>
        <v>460738.72531763039</v>
      </c>
    </row>
    <row r="11" spans="1:22" x14ac:dyDescent="0.3">
      <c r="A11" s="26">
        <f>Investment_Input!A21</f>
        <v>6</v>
      </c>
      <c r="B11" s="26" t="str">
        <f>Investment_Input!B21</f>
        <v>Yes</v>
      </c>
      <c r="C11" s="26" t="str">
        <f>Investment_Input!C21</f>
        <v>Gold</v>
      </c>
      <c r="D11" s="26" t="str">
        <f>Investment_Input!G21</f>
        <v>Other</v>
      </c>
      <c r="E11" s="26">
        <f>Investment_Input!I21</f>
        <v>300000</v>
      </c>
      <c r="F11" s="26">
        <f>Investment_Input!J21</f>
        <v>0</v>
      </c>
      <c r="G11" s="26">
        <f>Investment_Input!M21</f>
        <v>0.08</v>
      </c>
      <c r="H11" s="26">
        <f>Investment_Input!N21</f>
        <v>0</v>
      </c>
      <c r="I11" s="26">
        <f>Investment_Input!U21</f>
        <v>6</v>
      </c>
      <c r="J11" s="26" t="str">
        <f>Investment_Input!AA21</f>
        <v>Yes</v>
      </c>
      <c r="K11" s="26">
        <f>Assumptions_Config!$D$8</f>
        <v>15</v>
      </c>
      <c r="L11" s="50">
        <f t="shared" si="0"/>
        <v>476062.29688320018</v>
      </c>
      <c r="M11" s="50">
        <f t="shared" si="1"/>
        <v>0</v>
      </c>
      <c r="N11" s="50">
        <f t="shared" si="2"/>
        <v>476062.29688320018</v>
      </c>
      <c r="O11" s="50">
        <f>IF(K11&gt;I11,N11*(1+Assumptions_Config!$D$9)^(K11-I11),N11)</f>
        <v>839093.30824567075</v>
      </c>
      <c r="P11" s="50">
        <f t="shared" si="3"/>
        <v>300000</v>
      </c>
      <c r="Q11" s="50">
        <f t="shared" si="4"/>
        <v>539093.30824567075</v>
      </c>
      <c r="R11" s="50">
        <f>IF(J11="Yes",Q11*Assumptions_Config!$D$6,0)</f>
        <v>134773.32706141769</v>
      </c>
      <c r="S11" s="50">
        <f t="shared" si="5"/>
        <v>704319.981184253</v>
      </c>
      <c r="T11" s="50">
        <f>S11/(1+Assumptions_Config!$D$5)^Assumptions_Config!$D$8</f>
        <v>168608.60370734893</v>
      </c>
    </row>
    <row r="12" spans="1:22" x14ac:dyDescent="0.3">
      <c r="A12" s="26">
        <f>Investment_Input!A22</f>
        <v>7</v>
      </c>
      <c r="B12" s="26" t="str">
        <f>Investment_Input!B22</f>
        <v>Yes</v>
      </c>
      <c r="C12" s="26" t="str">
        <f>Investment_Input!C22</f>
        <v>Stocks</v>
      </c>
      <c r="D12" s="26" t="str">
        <f>Investment_Input!G22</f>
        <v>Equity</v>
      </c>
      <c r="E12" s="26">
        <f>Investment_Input!I22</f>
        <v>450000</v>
      </c>
      <c r="F12" s="26">
        <f>Investment_Input!J22</f>
        <v>0</v>
      </c>
      <c r="G12" s="26">
        <f>Investment_Input!M22</f>
        <v>0.14000000000000001</v>
      </c>
      <c r="H12" s="26">
        <f>Investment_Input!N22</f>
        <v>0</v>
      </c>
      <c r="I12" s="26">
        <f>Investment_Input!U22</f>
        <v>20</v>
      </c>
      <c r="J12" s="26" t="str">
        <f>Investment_Input!AA22</f>
        <v>Yes</v>
      </c>
      <c r="K12" s="26">
        <f>Assumptions_Config!$D$8</f>
        <v>15</v>
      </c>
      <c r="L12" s="50">
        <f t="shared" si="0"/>
        <v>3212072.0902745961</v>
      </c>
      <c r="M12" s="50">
        <f t="shared" si="1"/>
        <v>0</v>
      </c>
      <c r="N12" s="50">
        <f t="shared" si="2"/>
        <v>3212072.0902745961</v>
      </c>
      <c r="O12" s="50">
        <f>IF(K12&gt;I12,N12*(1+Assumptions_Config!$D$9)^(K12-I12),N12)</f>
        <v>3212072.0902745961</v>
      </c>
      <c r="P12" s="50">
        <f t="shared" si="3"/>
        <v>450000</v>
      </c>
      <c r="Q12" s="50">
        <f t="shared" si="4"/>
        <v>2762072.0902745961</v>
      </c>
      <c r="R12" s="50">
        <f>IF(J12="Yes",Q12*Assumptions_Config!$D$6,0)</f>
        <v>690518.02256864903</v>
      </c>
      <c r="S12" s="50">
        <f t="shared" si="5"/>
        <v>2521554.067705947</v>
      </c>
      <c r="T12" s="50">
        <f>S12/(1+Assumptions_Config!$D$5)^Assumptions_Config!$D$8</f>
        <v>603639.99586327688</v>
      </c>
    </row>
    <row r="13" spans="1:22" x14ac:dyDescent="0.3">
      <c r="A13" s="26">
        <f>Investment_Input!A23</f>
        <v>8</v>
      </c>
      <c r="B13" s="26" t="str">
        <f>Investment_Input!B23</f>
        <v>Yes</v>
      </c>
      <c r="C13" s="26" t="str">
        <f>Investment_Input!C23</f>
        <v>NPS</v>
      </c>
      <c r="D13" s="26" t="str">
        <f>Investment_Input!G23</f>
        <v>Equity</v>
      </c>
      <c r="E13" s="26">
        <f>Investment_Input!I23</f>
        <v>150000</v>
      </c>
      <c r="F13" s="26">
        <f>Investment_Input!J23</f>
        <v>4000</v>
      </c>
      <c r="G13" s="26">
        <f>Investment_Input!M23</f>
        <v>0.1</v>
      </c>
      <c r="H13" s="26">
        <f>Investment_Input!N23</f>
        <v>0</v>
      </c>
      <c r="I13" s="26">
        <f>Investment_Input!U23</f>
        <v>22</v>
      </c>
      <c r="J13" s="26" t="str">
        <f>Investment_Input!AA23</f>
        <v>No</v>
      </c>
      <c r="K13" s="26">
        <f>Assumptions_Config!$D$8</f>
        <v>15</v>
      </c>
      <c r="L13" s="50">
        <f t="shared" si="0"/>
        <v>626587.22541234829</v>
      </c>
      <c r="M13" s="50">
        <f t="shared" si="1"/>
        <v>1671697.0630382805</v>
      </c>
      <c r="N13" s="50">
        <f t="shared" si="2"/>
        <v>2298284.2884506285</v>
      </c>
      <c r="O13" s="50">
        <f>IF(K13&gt;I13,N13*(1+Assumptions_Config!$D$9)^(K13-I13),N13)</f>
        <v>2298284.2884506285</v>
      </c>
      <c r="P13" s="50">
        <f t="shared" si="3"/>
        <v>870000</v>
      </c>
      <c r="Q13" s="50">
        <f t="shared" si="4"/>
        <v>1428284.2884506285</v>
      </c>
      <c r="R13" s="50">
        <f>IF(J13="Yes",Q13*Assumptions_Config!$D$6,0)</f>
        <v>0</v>
      </c>
      <c r="S13" s="50">
        <f t="shared" si="5"/>
        <v>2298284.2884506285</v>
      </c>
      <c r="T13" s="50">
        <f>S13/(1+Assumptions_Config!$D$5)^Assumptions_Config!$D$8</f>
        <v>550190.98584514542</v>
      </c>
    </row>
    <row r="14" spans="1:22" x14ac:dyDescent="0.3">
      <c r="A14" s="26">
        <f>Investment_Input!A24</f>
        <v>9</v>
      </c>
      <c r="B14" s="26" t="str">
        <f>Investment_Input!B24</f>
        <v>Yes</v>
      </c>
      <c r="C14" s="26" t="str">
        <f>Investment_Input!C24</f>
        <v>Savings Account</v>
      </c>
      <c r="D14" s="26" t="str">
        <f>Investment_Input!G24</f>
        <v>Debt</v>
      </c>
      <c r="E14" s="26">
        <f>Investment_Input!I24</f>
        <v>100000</v>
      </c>
      <c r="F14" s="26">
        <f>Investment_Input!J24</f>
        <v>0</v>
      </c>
      <c r="G14" s="26">
        <f>Investment_Input!M24</f>
        <v>0.04</v>
      </c>
      <c r="H14" s="26">
        <f>Investment_Input!N24</f>
        <v>0</v>
      </c>
      <c r="I14" s="26">
        <f>Investment_Input!U24</f>
        <v>20</v>
      </c>
      <c r="J14" s="26" t="str">
        <f>Investment_Input!AA24</f>
        <v>Yes</v>
      </c>
      <c r="K14" s="26">
        <f>Assumptions_Config!$D$8</f>
        <v>15</v>
      </c>
      <c r="L14" s="50">
        <f t="shared" si="0"/>
        <v>180094.35055069168</v>
      </c>
      <c r="M14" s="50">
        <f t="shared" si="1"/>
        <v>0</v>
      </c>
      <c r="N14" s="50">
        <f t="shared" si="2"/>
        <v>180094.35055069168</v>
      </c>
      <c r="O14" s="50">
        <f>IF(K14&gt;I14,N14*(1+Assumptions_Config!$D$9)^(K14-I14),N14)</f>
        <v>180094.35055069168</v>
      </c>
      <c r="P14" s="50">
        <f t="shared" si="3"/>
        <v>100000</v>
      </c>
      <c r="Q14" s="50">
        <f t="shared" si="4"/>
        <v>80094.350550691684</v>
      </c>
      <c r="R14" s="50">
        <f>IF(J14="Yes",Q14*Assumptions_Config!$D$6,0)</f>
        <v>20023.587637672921</v>
      </c>
      <c r="S14" s="50">
        <f t="shared" si="5"/>
        <v>160070.76291301876</v>
      </c>
      <c r="T14" s="50">
        <f>S14/(1+Assumptions_Config!$D$5)^Assumptions_Config!$D$8</f>
        <v>38319.667977833036</v>
      </c>
    </row>
    <row r="15" spans="1:22" x14ac:dyDescent="0.3">
      <c r="A15" s="26">
        <f>Investment_Input!A25</f>
        <v>10</v>
      </c>
      <c r="B15" s="26" t="str">
        <f>Investment_Input!B25</f>
        <v>Yes</v>
      </c>
      <c r="C15" s="26" t="str">
        <f>Investment_Input!C25</f>
        <v>Land</v>
      </c>
      <c r="D15" s="26" t="str">
        <f>Investment_Input!G25</f>
        <v>Other</v>
      </c>
      <c r="E15" s="26">
        <f>Investment_Input!I25</f>
        <v>2000000</v>
      </c>
      <c r="F15" s="26">
        <f>Investment_Input!J25</f>
        <v>0</v>
      </c>
      <c r="G15" s="26">
        <f>Investment_Input!M25</f>
        <v>0.1</v>
      </c>
      <c r="H15" s="26">
        <f>Investment_Input!N25</f>
        <v>0</v>
      </c>
      <c r="I15" s="26">
        <f>Investment_Input!U25</f>
        <v>15</v>
      </c>
      <c r="J15" s="26" t="str">
        <f>Investment_Input!AA25</f>
        <v>Yes</v>
      </c>
      <c r="K15" s="26">
        <f>Assumptions_Config!$D$8</f>
        <v>15</v>
      </c>
      <c r="L15" s="50">
        <f t="shared" si="0"/>
        <v>8354496.3388313111</v>
      </c>
      <c r="M15" s="50">
        <f t="shared" si="1"/>
        <v>0</v>
      </c>
      <c r="N15" s="50">
        <f t="shared" si="2"/>
        <v>8354496.3388313111</v>
      </c>
      <c r="O15" s="50">
        <f>IF(K15&gt;I15,N15*(1+Assumptions_Config!$D$9)^(K15-I15),N15)</f>
        <v>8354496.3388313111</v>
      </c>
      <c r="P15" s="50">
        <f t="shared" si="3"/>
        <v>2000000</v>
      </c>
      <c r="Q15" s="50">
        <f t="shared" si="4"/>
        <v>6354496.3388313111</v>
      </c>
      <c r="R15" s="50">
        <f>IF(J15="Yes",Q15*Assumptions_Config!$D$6,0)</f>
        <v>1588624.0847078278</v>
      </c>
      <c r="S15" s="50">
        <f t="shared" si="5"/>
        <v>6765872.2541234829</v>
      </c>
      <c r="T15" s="50">
        <f>S15/(1+Assumptions_Config!$D$5)^Assumptions_Config!$D$8</f>
        <v>1619696.0246845817</v>
      </c>
    </row>
    <row r="16" spans="1:22" x14ac:dyDescent="0.3">
      <c r="A16" s="26">
        <f>Investment_Input!A26</f>
        <v>11</v>
      </c>
      <c r="B16" s="26" t="str">
        <f>Investment_Input!B26</f>
        <v>Yes</v>
      </c>
      <c r="C16" s="26" t="str">
        <f>Investment_Input!C26</f>
        <v>SIP</v>
      </c>
      <c r="D16" s="26" t="str">
        <f>Investment_Input!G26</f>
        <v>Equity</v>
      </c>
      <c r="E16" s="26">
        <f>Investment_Input!I26</f>
        <v>50000</v>
      </c>
      <c r="F16" s="26">
        <f>Investment_Input!J26</f>
        <v>5000</v>
      </c>
      <c r="G16" s="26">
        <f>Investment_Input!M26</f>
        <v>0.12</v>
      </c>
      <c r="H16" s="26">
        <f>Investment_Input!N26</f>
        <v>0</v>
      </c>
      <c r="I16" s="26">
        <f>Investment_Input!U26</f>
        <v>10</v>
      </c>
      <c r="J16" s="26" t="str">
        <f>Investment_Input!AA26</f>
        <v>No</v>
      </c>
      <c r="K16" s="26">
        <f>Assumptions_Config!$D$8</f>
        <v>15</v>
      </c>
      <c r="L16" s="50">
        <f t="shared" si="0"/>
        <v>155292.41041721054</v>
      </c>
      <c r="M16" s="50">
        <f t="shared" si="1"/>
        <v>1161695.3817597034</v>
      </c>
      <c r="N16" s="50">
        <f t="shared" si="2"/>
        <v>1316987.7921769139</v>
      </c>
      <c r="O16" s="50">
        <f>IF(K16&gt;I16,N16*(1+Assumptions_Config!$D$9)^(K16-I16),N16)</f>
        <v>1804387.4099427781</v>
      </c>
      <c r="P16" s="50">
        <f t="shared" si="3"/>
        <v>650000</v>
      </c>
      <c r="Q16" s="50">
        <f t="shared" si="4"/>
        <v>1154387.4099427781</v>
      </c>
      <c r="R16" s="50">
        <f>IF(J16="Yes",Q16*Assumptions_Config!$D$6,0)</f>
        <v>0</v>
      </c>
      <c r="S16" s="50">
        <f t="shared" si="5"/>
        <v>1804387.4099427781</v>
      </c>
      <c r="T16" s="50">
        <f>S16/(1+Assumptions_Config!$D$5)^Assumptions_Config!$D$8</f>
        <v>431955.99992211838</v>
      </c>
    </row>
    <row r="17" spans="1:20" x14ac:dyDescent="0.3">
      <c r="A17" s="26">
        <f>Investment_Input!A27</f>
        <v>12</v>
      </c>
      <c r="B17" s="26" t="str">
        <f>Investment_Input!B27</f>
        <v>Yes</v>
      </c>
      <c r="C17" s="26" t="str">
        <f>Investment_Input!C27</f>
        <v>Crypto</v>
      </c>
      <c r="D17" s="26" t="str">
        <f>Investment_Input!G27</f>
        <v>Other</v>
      </c>
      <c r="E17" s="26">
        <f>Investment_Input!I27</f>
        <v>100000</v>
      </c>
      <c r="F17" s="26">
        <f>Investment_Input!J27</f>
        <v>0</v>
      </c>
      <c r="G17" s="26">
        <f>Investment_Input!M27</f>
        <v>0.15</v>
      </c>
      <c r="H17" s="26">
        <f>Investment_Input!N27</f>
        <v>0</v>
      </c>
      <c r="I17" s="26">
        <f>Investment_Input!U27</f>
        <v>10</v>
      </c>
      <c r="J17" s="26" t="str">
        <f>Investment_Input!AA27</f>
        <v>Yes</v>
      </c>
      <c r="K17" s="26">
        <f>Assumptions_Config!$D$8</f>
        <v>15</v>
      </c>
      <c r="L17" s="50">
        <f t="shared" si="0"/>
        <v>404555.77357079065</v>
      </c>
      <c r="M17" s="50">
        <f t="shared" si="1"/>
        <v>0</v>
      </c>
      <c r="N17" s="50">
        <f t="shared" si="2"/>
        <v>404555.77357079065</v>
      </c>
      <c r="O17" s="50">
        <f>IF(K17&gt;I17,N17*(1+Assumptions_Config!$D$9)^(K17-I17),N17)</f>
        <v>554276.46997713146</v>
      </c>
      <c r="P17" s="50">
        <f t="shared" si="3"/>
        <v>100000</v>
      </c>
      <c r="Q17" s="50">
        <f t="shared" si="4"/>
        <v>454276.46997713146</v>
      </c>
      <c r="R17" s="50">
        <f>IF(J17="Yes",Q17*Assumptions_Config!$D$6,0)</f>
        <v>113569.11749428287</v>
      </c>
      <c r="S17" s="50">
        <f t="shared" si="5"/>
        <v>440707.35248284857</v>
      </c>
      <c r="T17" s="50">
        <f>S17/(1+Assumptions_Config!$D$5)^Assumptions_Config!$D$8</f>
        <v>105501.83628292738</v>
      </c>
    </row>
    <row r="20" spans="1:20" ht="28.05" customHeight="1" x14ac:dyDescent="0.3">
      <c r="A20" s="80" t="s">
        <v>439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</row>
    <row r="21" spans="1:20" x14ac:dyDescent="0.3">
      <c r="A21" s="51" t="s">
        <v>440</v>
      </c>
      <c r="B21" s="23">
        <f>SUMPRODUCT((B6:B17="Yes")*E6:E17)</f>
        <v>4115000</v>
      </c>
    </row>
    <row r="22" spans="1:20" x14ac:dyDescent="0.3">
      <c r="A22" s="51" t="s">
        <v>441</v>
      </c>
      <c r="B22" s="23">
        <f>SUMPRODUCT((B6:B17="Yes")*O6:O17)</f>
        <v>26037167.310684469</v>
      </c>
    </row>
    <row r="23" spans="1:20" x14ac:dyDescent="0.3">
      <c r="A23" s="51" t="s">
        <v>442</v>
      </c>
      <c r="B23" s="23">
        <f>SUMPRODUCT((B6:B17="Yes")*S6:S17)</f>
        <v>22351948.406839691</v>
      </c>
    </row>
    <row r="24" spans="1:20" x14ac:dyDescent="0.3">
      <c r="A24" s="51" t="s">
        <v>443</v>
      </c>
      <c r="B24" s="23">
        <f>SUMPRODUCT((B6:B17="Yes")*R6:R17)</f>
        <v>3685218.9038447705</v>
      </c>
    </row>
    <row r="25" spans="1:20" x14ac:dyDescent="0.3">
      <c r="A25" s="51" t="s">
        <v>434</v>
      </c>
      <c r="B25" s="23">
        <f>SUMPRODUCT((B6:B17="Yes")*P6:P17)</f>
        <v>7709000</v>
      </c>
    </row>
    <row r="26" spans="1:20" x14ac:dyDescent="0.3">
      <c r="A26" s="51" t="s">
        <v>435</v>
      </c>
      <c r="B26" s="23">
        <f>B22-B25</f>
        <v>18328167.310684469</v>
      </c>
    </row>
    <row r="27" spans="1:20" x14ac:dyDescent="0.3">
      <c r="A27" s="51" t="s">
        <v>444</v>
      </c>
      <c r="B27" s="23">
        <f>B23/(1+Assumptions_Config!$D$5)^Assumptions_Config!$D$8</f>
        <v>5350878.7365071606</v>
      </c>
    </row>
    <row r="28" spans="1:20" x14ac:dyDescent="0.3">
      <c r="A28" s="51" t="s">
        <v>445</v>
      </c>
      <c r="B28" s="23">
        <f>SUM(Major_Expenses!J5:J9)</f>
        <v>15691965.073000006</v>
      </c>
    </row>
    <row r="29" spans="1:20" x14ac:dyDescent="0.3">
      <c r="A29" s="51" t="s">
        <v>446</v>
      </c>
      <c r="B29" s="23">
        <f>Debt_Tracker!C11</f>
        <v>4235000</v>
      </c>
    </row>
    <row r="30" spans="1:20" x14ac:dyDescent="0.3">
      <c r="A30" s="51" t="s">
        <v>447</v>
      </c>
      <c r="B30" s="23">
        <f>B21-B29</f>
        <v>-120000</v>
      </c>
    </row>
    <row r="31" spans="1:20" ht="27.6" x14ac:dyDescent="0.3">
      <c r="A31" s="51" t="s">
        <v>448</v>
      </c>
      <c r="B31" s="23">
        <f>B23-B29</f>
        <v>18116948.406839691</v>
      </c>
    </row>
    <row r="32" spans="1:20" x14ac:dyDescent="0.3">
      <c r="A32" s="51" t="s">
        <v>449</v>
      </c>
      <c r="B32" s="23">
        <f>B31-B28</f>
        <v>2424983.3338396847</v>
      </c>
    </row>
    <row r="33" spans="1:8" x14ac:dyDescent="0.3">
      <c r="A33" s="51" t="s">
        <v>450</v>
      </c>
      <c r="B33" s="23">
        <f>B23-B27</f>
        <v>17001069.670332529</v>
      </c>
    </row>
    <row r="34" spans="1:8" x14ac:dyDescent="0.3">
      <c r="A34" s="51" t="s">
        <v>451</v>
      </c>
      <c r="B34" s="25">
        <f>IF(B23&lt;&gt;0,B33/B23,0)</f>
        <v>0.76060795063083653</v>
      </c>
    </row>
    <row r="35" spans="1:8" x14ac:dyDescent="0.3">
      <c r="A35" s="51" t="s">
        <v>452</v>
      </c>
      <c r="B35" s="155">
        <f>SUMPRODUCT((Investment_Input!B9:B28="Yes")*(Investment_Input!H9:H28="Recurring")*Investment_Input!J9:J28)</f>
        <v>27000</v>
      </c>
    </row>
    <row r="36" spans="1:8" x14ac:dyDescent="0.3">
      <c r="A36" s="51" t="s">
        <v>453</v>
      </c>
      <c r="B36" s="23">
        <f>Assumptions_Config!$D$12*Assumptions_Config!$D$13</f>
        <v>600000</v>
      </c>
    </row>
    <row r="37" spans="1:8" x14ac:dyDescent="0.3">
      <c r="A37" s="51" t="s">
        <v>454</v>
      </c>
      <c r="B37" s="155">
        <f>SUMPRODUCT((Investment_Input!B9:B28="Yes")*(Investment_Input!C9:C28="Savings Account")*Investment_Input!I9:I28)+SUMPRODUCT((Investment_Input!B9:B28="Yes")*(Investment_Input!C9:C28="FD")*Investment_Input!I9:I28)</f>
        <v>600000</v>
      </c>
    </row>
    <row r="38" spans="1:8" x14ac:dyDescent="0.3">
      <c r="A38" s="51" t="s">
        <v>455</v>
      </c>
      <c r="B38" s="25">
        <f>IF(B36=0,0,B37/B36)</f>
        <v>1</v>
      </c>
    </row>
    <row r="39" spans="1:8" x14ac:dyDescent="0.3">
      <c r="A39" s="51" t="s">
        <v>223</v>
      </c>
      <c r="B39" s="24">
        <f>Investment_Input!J4</f>
        <v>5.286755771567436</v>
      </c>
    </row>
    <row r="40" spans="1:8" x14ac:dyDescent="0.3">
      <c r="A40" s="51" t="s">
        <v>456</v>
      </c>
      <c r="B40" s="52" t="str">
        <f>IF(B39&gt;=8,"Very Aggressive",IF(B39&gt;=6,"Aggressive",IF(B39&gt;=3,"Moderate","Conservative")))</f>
        <v>Moderate</v>
      </c>
    </row>
    <row r="41" spans="1:8" x14ac:dyDescent="0.3">
      <c r="A41" s="51" t="s">
        <v>457</v>
      </c>
      <c r="B41" s="74" t="e">
        <f ca="1">_xludf.SWITCH(Assumptions_Config!$D$7,"₹",1,"Lakhs",100000,"Crores",10000000,"Millions",1000000,1)</f>
        <v>#NAME?</v>
      </c>
    </row>
    <row r="42" spans="1:8" x14ac:dyDescent="0.3">
      <c r="A42" s="51" t="s">
        <v>106</v>
      </c>
      <c r="B42" s="74" t="str">
        <f>Assumptions_Config!$D$7</f>
        <v>Lakhs</v>
      </c>
    </row>
    <row r="43" spans="1:8" ht="28.05" customHeight="1" x14ac:dyDescent="0.3">
      <c r="A43" s="80" t="s">
        <v>458</v>
      </c>
      <c r="B43" s="81"/>
      <c r="C43" s="81"/>
      <c r="D43" s="81"/>
      <c r="E43" s="81"/>
      <c r="F43" s="81"/>
      <c r="G43" s="81"/>
      <c r="H43" s="81"/>
    </row>
    <row r="44" spans="1:8" x14ac:dyDescent="0.3">
      <c r="A44" s="1" t="s">
        <v>152</v>
      </c>
      <c r="B44" s="1" t="s">
        <v>459</v>
      </c>
      <c r="C44" s="1" t="s">
        <v>437</v>
      </c>
      <c r="D44" s="1" t="s">
        <v>460</v>
      </c>
      <c r="E44" s="1" t="s">
        <v>461</v>
      </c>
      <c r="F44" s="1" t="s">
        <v>462</v>
      </c>
      <c r="G44" s="1" t="s">
        <v>463</v>
      </c>
    </row>
    <row r="45" spans="1:8" x14ac:dyDescent="0.3">
      <c r="A45" s="11" t="s">
        <v>158</v>
      </c>
      <c r="B45" s="33">
        <f>SUMPRODUCT((B6:B17="Yes")*(D6:D17="Equity")*E6:E17)</f>
        <v>855000</v>
      </c>
      <c r="C45" s="33">
        <f>SUMPRODUCT((B6:B17="Yes")*(D6:D17="Equity")*S6:S17)</f>
        <v>10636789.910982234</v>
      </c>
      <c r="D45" s="48">
        <f>IF(B21&lt;&gt;0,B45/B21,0)</f>
        <v>0.2077764277035237</v>
      </c>
      <c r="E45" s="48">
        <f>Assumptions_Config!D57</f>
        <v>0.7</v>
      </c>
      <c r="F45" s="53">
        <f>D45-E45</f>
        <v>-0.49222357229647629</v>
      </c>
      <c r="G45" s="35" t="str">
        <f>IF(ABS(F45)&lt;0.02,"✅ On target",IF(F45&gt;0,"↓ Reduce by ₹"&amp;TEXT(ABS(F45)*B21,"##,##0"),"↑ Increase by ₹"&amp;TEXT(ABS(F45)*B21,"##,##0")))</f>
        <v>↑ Increase by ₹2,025,500</v>
      </c>
    </row>
    <row r="46" spans="1:8" x14ac:dyDescent="0.3">
      <c r="A46" s="11" t="s">
        <v>164</v>
      </c>
      <c r="B46" s="33">
        <f>SUMPRODUCT((B6:B17="Yes")*(D6:D17="Debt")*E6:E17)</f>
        <v>860000</v>
      </c>
      <c r="C46" s="33">
        <f>SUMPRODUCT((B6:B17="Yes")*(D6:D17="Debt")*S6:S17)</f>
        <v>3804258.908066872</v>
      </c>
      <c r="D46" s="48">
        <f>IF(B21&lt;&gt;0,B46/B21,0)</f>
        <v>0.20899149453219928</v>
      </c>
      <c r="E46" s="48">
        <f>Assumptions_Config!D58</f>
        <v>0.1</v>
      </c>
      <c r="F46" s="53">
        <f>D46-E46</f>
        <v>0.10899149453219928</v>
      </c>
      <c r="G46" s="35" t="str">
        <f>IF(ABS(F46)&lt;0.02,"✅ On target",IF(F46&gt;0,"↓ Reduce by ₹"&amp;TEXT(ABS(F46)*B21,"##,##0"),"↑ Increase by ₹"&amp;TEXT(ABS(F46)*B21,"##,##0")))</f>
        <v>↓ Reduce by ₹448,500</v>
      </c>
    </row>
    <row r="47" spans="1:8" x14ac:dyDescent="0.3">
      <c r="A47" s="11" t="s">
        <v>178</v>
      </c>
      <c r="B47" s="33">
        <f>SUMPRODUCT((B6:B17="Yes")*(D6:D17="Other")*E6:E17)</f>
        <v>2400000</v>
      </c>
      <c r="C47" s="33">
        <f>SUMPRODUCT((B6:B17="Yes")*(D6:D17="Other")*S6:S17)</f>
        <v>7910899.5877905851</v>
      </c>
      <c r="D47" s="48">
        <f>IF(B21&lt;&gt;0,B47/B21,0)</f>
        <v>0.58323207776427699</v>
      </c>
      <c r="E47" s="48">
        <f>Assumptions_Config!D59</f>
        <v>0.2</v>
      </c>
      <c r="F47" s="53">
        <f>D47-E47</f>
        <v>0.38323207776427698</v>
      </c>
      <c r="G47" s="35" t="str">
        <f>IF(ABS(F47)&lt;0.02,"✅ On target",IF(F47&gt;0,"↓ Reduce by ₹"&amp;TEXT(ABS(F47)*B21,"##,##0"),"↑ Increase by ₹"&amp;TEXT(ABS(F47)*B21,"##,##0")))</f>
        <v>↓ Reduce by ₹1,577,000</v>
      </c>
    </row>
    <row r="50" spans="1:10" ht="28.05" customHeight="1" x14ac:dyDescent="0.3">
      <c r="A50" s="80" t="s">
        <v>464</v>
      </c>
      <c r="B50" s="81"/>
      <c r="C50" s="81"/>
      <c r="D50" s="81"/>
      <c r="E50" s="81"/>
      <c r="F50" s="81"/>
      <c r="G50" s="81"/>
      <c r="H50" s="81"/>
      <c r="I50" s="81"/>
      <c r="J50" s="81"/>
    </row>
    <row r="51" spans="1:10" x14ac:dyDescent="0.3">
      <c r="A51" s="1" t="s">
        <v>132</v>
      </c>
      <c r="B51" s="1" t="s">
        <v>465</v>
      </c>
      <c r="C51" s="1" t="s">
        <v>466</v>
      </c>
      <c r="D51" s="1" t="s">
        <v>437</v>
      </c>
      <c r="E51" s="1" t="s">
        <v>467</v>
      </c>
      <c r="F51" s="1" t="s">
        <v>435</v>
      </c>
      <c r="G51" s="1" t="s">
        <v>436</v>
      </c>
      <c r="H51" s="1" t="s">
        <v>468</v>
      </c>
    </row>
    <row r="52" spans="1:10" x14ac:dyDescent="0.3">
      <c r="A52" s="11" t="s">
        <v>139</v>
      </c>
      <c r="B52" s="54">
        <f>Assumptions_Config!D22</f>
        <v>1.1499999999999999</v>
      </c>
      <c r="C52" s="33">
        <f>B25+B26*B52</f>
        <v>28786392.407287136</v>
      </c>
      <c r="D52" s="33">
        <f>C52-MAX(C52-B25,0)*Assumptions_Config!H22</f>
        <v>23517044.305465352</v>
      </c>
      <c r="E52" s="33">
        <f>D52/(1+Assumptions_Config!G22)^Assumptions_Config!$D$8</f>
        <v>5629793.4313907642</v>
      </c>
      <c r="F52" s="33">
        <f>MAX(C52-B25,0)</f>
        <v>21077392.407287136</v>
      </c>
      <c r="G52" s="33">
        <f>C52-D52</f>
        <v>5269348.1018217839</v>
      </c>
      <c r="H52" s="48">
        <f>IF(D52&lt;&gt;0,(D52-E52)/D52,0)</f>
        <v>0.76060795063083653</v>
      </c>
    </row>
    <row r="53" spans="1:10" x14ac:dyDescent="0.3">
      <c r="A53" s="16" t="s">
        <v>141</v>
      </c>
      <c r="B53" s="54">
        <f>Assumptions_Config!D23</f>
        <v>1.07</v>
      </c>
      <c r="C53" s="33">
        <f>B25+B26*B53</f>
        <v>27320139.022432383</v>
      </c>
      <c r="D53" s="33">
        <f>C53-MAX(C53-B25,0)*Assumptions_Config!H23</f>
        <v>22417354.266824286</v>
      </c>
      <c r="E53" s="33">
        <f>D53/(1+Assumptions_Config!G23)^Assumptions_Config!$D$8</f>
        <v>5366536.3793696249</v>
      </c>
      <c r="F53" s="33">
        <f>MAX(C53-B25,0)</f>
        <v>19611139.022432383</v>
      </c>
      <c r="G53" s="33">
        <f>C53-D53</f>
        <v>4902784.7556080967</v>
      </c>
      <c r="H53" s="48">
        <f>IF(D53&lt;&gt;0,(D53-E53)/D53,0)</f>
        <v>0.76060795063083664</v>
      </c>
    </row>
    <row r="54" spans="1:10" x14ac:dyDescent="0.3">
      <c r="A54" s="11" t="s">
        <v>143</v>
      </c>
      <c r="B54" s="54">
        <f>Assumptions_Config!D24</f>
        <v>1</v>
      </c>
      <c r="C54" s="33">
        <f>B25+B26*B54</f>
        <v>26037167.310684469</v>
      </c>
      <c r="D54" s="33">
        <f>C54-MAX(C54-B25,0)*Assumptions_Config!H24</f>
        <v>21455125.483013351</v>
      </c>
      <c r="E54" s="33">
        <f>D54/(1+Assumptions_Config!G24)^Assumptions_Config!$D$8</f>
        <v>5136186.4588511279</v>
      </c>
      <c r="F54" s="33">
        <f>MAX(C54-B25,0)</f>
        <v>18328167.310684469</v>
      </c>
      <c r="G54" s="33">
        <f>C54-D54</f>
        <v>4582041.8276711181</v>
      </c>
      <c r="H54" s="48">
        <f>IF(D54&lt;&gt;0,(D54-E54)/D54,0)</f>
        <v>0.76060795063083653</v>
      </c>
    </row>
    <row r="55" spans="1:10" x14ac:dyDescent="0.3">
      <c r="A55" s="16" t="s">
        <v>145</v>
      </c>
      <c r="B55" s="54">
        <f>Assumptions_Config!D25</f>
        <v>0.9</v>
      </c>
      <c r="C55" s="33">
        <f>B25+B26*B55</f>
        <v>24204350.579616021</v>
      </c>
      <c r="D55" s="33">
        <f>C55-MAX(C55-B25,0)*Assumptions_Config!H25</f>
        <v>20080512.934712015</v>
      </c>
      <c r="E55" s="33">
        <f>D55/(1+Assumptions_Config!G25)^Assumptions_Config!$D$8</f>
        <v>4807115.1438247031</v>
      </c>
      <c r="F55" s="33">
        <f>MAX(C55-B25,0)</f>
        <v>16495350.579616021</v>
      </c>
      <c r="G55" s="33">
        <f>C55-D55</f>
        <v>4123837.6449040063</v>
      </c>
      <c r="H55" s="48">
        <f>IF(D55&lt;&gt;0,(D55-E55)/D55,0)</f>
        <v>0.76060795063083653</v>
      </c>
    </row>
    <row r="56" spans="1:10" x14ac:dyDescent="0.3">
      <c r="A56" s="11" t="s">
        <v>147</v>
      </c>
      <c r="B56" s="54">
        <f>Assumptions_Config!D26</f>
        <v>0.8</v>
      </c>
      <c r="C56" s="33">
        <f>B25+B26*B56</f>
        <v>22371533.848547578</v>
      </c>
      <c r="D56" s="33">
        <f>C56-MAX(C56-B25,0)*Assumptions_Config!H26</f>
        <v>18705900.386410683</v>
      </c>
      <c r="E56" s="33">
        <f>D56/(1+Assumptions_Config!G26)^Assumptions_Config!$D$8</f>
        <v>4478043.8287982792</v>
      </c>
      <c r="F56" s="33">
        <f>MAX(C56-B25,0)</f>
        <v>14662533.848547578</v>
      </c>
      <c r="G56" s="33">
        <f>C56-D56</f>
        <v>3665633.4621368945</v>
      </c>
      <c r="H56" s="48">
        <f>IF(D56&lt;&gt;0,(D56-E56)/D56,0)</f>
        <v>0.76060795063083664</v>
      </c>
    </row>
    <row r="59" spans="1:10" ht="28.05" customHeight="1" x14ac:dyDescent="0.3">
      <c r="A59" s="80" t="s">
        <v>469</v>
      </c>
      <c r="B59" s="81"/>
      <c r="C59" s="81"/>
      <c r="D59" s="81"/>
      <c r="E59" s="81"/>
      <c r="F59" s="81"/>
      <c r="G59" s="81"/>
      <c r="H59" s="81"/>
    </row>
    <row r="60" spans="1:10" x14ac:dyDescent="0.3">
      <c r="A60" s="1" t="s">
        <v>470</v>
      </c>
      <c r="B60" s="1" t="s">
        <v>355</v>
      </c>
      <c r="C60" s="1" t="s">
        <v>471</v>
      </c>
      <c r="D60" s="1" t="s">
        <v>437</v>
      </c>
      <c r="E60" s="1" t="s">
        <v>472</v>
      </c>
      <c r="F60" s="1" t="s">
        <v>473</v>
      </c>
      <c r="G60" s="1" t="s">
        <v>474</v>
      </c>
    </row>
    <row r="61" spans="1:10" x14ac:dyDescent="0.3">
      <c r="A61" s="55">
        <v>0</v>
      </c>
      <c r="B61" s="55">
        <v>2026</v>
      </c>
      <c r="C61" s="50">
        <f>B21</f>
        <v>4115000</v>
      </c>
      <c r="D61" s="50">
        <f>B21</f>
        <v>4115000</v>
      </c>
      <c r="E61" s="50">
        <f>B21</f>
        <v>4115000</v>
      </c>
      <c r="F61" s="50">
        <f>SUMPRODUCT((Major_Expenses!D5:D9&lt;=2026)*Major_Expenses!J5:J9)</f>
        <v>0</v>
      </c>
      <c r="G61" s="50">
        <f t="shared" ref="G61:G81" si="6">D61-F61</f>
        <v>4115000</v>
      </c>
    </row>
    <row r="62" spans="1:10" x14ac:dyDescent="0.3">
      <c r="A62" s="55">
        <v>1</v>
      </c>
      <c r="B62" s="55">
        <v>2027</v>
      </c>
      <c r="C62" s="50">
        <f>IF(Assumptions_Config!$D$8=0,B21,B21*(B22/B21)^(A62/Assumptions_Config!$D$8))</f>
        <v>4653554.0855694758</v>
      </c>
      <c r="D62" s="50">
        <f>IF(Assumptions_Config!$D$8=0,B21,B21*(B23/B21)^(A62/Assumptions_Config!$D$8))</f>
        <v>4606448.3855632702</v>
      </c>
      <c r="E62" s="50">
        <f>D62/(1+Assumptions_Config!$D$5)^A62</f>
        <v>4187680.3505120636</v>
      </c>
      <c r="F62" s="50">
        <f>SUMPRODUCT((Major_Expenses!D5:D9&lt;=2027)*Major_Expenses!J5:J9)</f>
        <v>550000</v>
      </c>
      <c r="G62" s="50">
        <f t="shared" si="6"/>
        <v>4056448.3855632702</v>
      </c>
    </row>
    <row r="63" spans="1:10" x14ac:dyDescent="0.3">
      <c r="A63" s="55">
        <v>2</v>
      </c>
      <c r="B63" s="55">
        <v>2028</v>
      </c>
      <c r="C63" s="50">
        <f>IF(Assumptions_Config!$D$8=0,B21,B21*(B22/B21)^(A63/Assumptions_Config!$D$8))</f>
        <v>5262591.8899927977</v>
      </c>
      <c r="D63" s="50">
        <f>IF(Assumptions_Config!$D$8=0,B21,B21*(B23/B21)^(A63/Assumptions_Config!$D$8))</f>
        <v>5156589.7275476214</v>
      </c>
      <c r="E63" s="50">
        <f>D63/(1+Assumptions_Config!$D$5)^A63</f>
        <v>4261644.4029319175</v>
      </c>
      <c r="F63" s="50">
        <f>SUMPRODUCT((Major_Expenses!D5:D9&lt;=2028)*Major_Expenses!J5:J9)</f>
        <v>3575000.0000000005</v>
      </c>
      <c r="G63" s="50">
        <f t="shared" si="6"/>
        <v>1581589.7275476209</v>
      </c>
    </row>
    <row r="64" spans="1:10" x14ac:dyDescent="0.3">
      <c r="A64" s="55">
        <v>3</v>
      </c>
      <c r="B64" s="55">
        <v>2029</v>
      </c>
      <c r="C64" s="50">
        <f>IF(Assumptions_Config!$D$8=0,B21,B21*(B22/B21)^(A64/Assumptions_Config!$D$8))</f>
        <v>5951338.0292492779</v>
      </c>
      <c r="D64" s="50">
        <f>IF(Assumptions_Config!$D$8=0,B21,B21*(B23/B21)^(A64/Assumptions_Config!$D$8))</f>
        <v>5772433.6392403115</v>
      </c>
      <c r="E64" s="50">
        <f>D64/(1+Assumptions_Config!$D$5)^A64</f>
        <v>4336914.8303834032</v>
      </c>
      <c r="F64" s="50">
        <f>SUMPRODUCT((Major_Expenses!D5:D9&lt;=2029)*Major_Expenses!J5:J9)</f>
        <v>3575000.0000000005</v>
      </c>
      <c r="G64" s="50">
        <f t="shared" si="6"/>
        <v>2197433.639240311</v>
      </c>
    </row>
    <row r="65" spans="1:7" x14ac:dyDescent="0.3">
      <c r="A65" s="55">
        <v>4</v>
      </c>
      <c r="B65" s="55">
        <v>2030</v>
      </c>
      <c r="C65" s="50">
        <f>IF(Assumptions_Config!$D$8=0,B21,B21*(B22/B21)^(A65/Assumptions_Config!$D$8))</f>
        <v>6730224.3986920947</v>
      </c>
      <c r="D65" s="50">
        <f>IF(Assumptions_Config!$D$8=0,B21,B21*(B23/B21)^(A65/Assumptions_Config!$D$8))</f>
        <v>6461826.8817131575</v>
      </c>
      <c r="E65" s="50">
        <f>D65/(1+Assumptions_Config!$D$5)^A65</f>
        <v>4413514.706449802</v>
      </c>
      <c r="F65" s="50">
        <f>SUMPRODUCT((Major_Expenses!D5:D9&lt;=2030)*Major_Expenses!J5:J9)</f>
        <v>5075000</v>
      </c>
      <c r="G65" s="50">
        <f t="shared" si="6"/>
        <v>1386826.8817131575</v>
      </c>
    </row>
    <row r="66" spans="1:7" x14ac:dyDescent="0.3">
      <c r="A66" s="55">
        <v>5</v>
      </c>
      <c r="B66" s="55">
        <v>2031</v>
      </c>
      <c r="C66" s="50">
        <f>IF(Assumptions_Config!$D$8=0,B21,B21*(B22/B21)^(A66/Assumptions_Config!$D$8))</f>
        <v>7611048.1767516313</v>
      </c>
      <c r="D66" s="50">
        <f>IF(Assumptions_Config!$D$8=0,B21,B21*(B23/B21)^(A66/Assumptions_Config!$D$8))</f>
        <v>7233553.3431487037</v>
      </c>
      <c r="E66" s="50">
        <f>D66/(1+Assumptions_Config!$D$5)^A66</f>
        <v>4491467.5122468667</v>
      </c>
      <c r="F66" s="50">
        <f>SUMPRODUCT((Major_Expenses!D5:D9&lt;=2031)*Major_Expenses!J5:J9)</f>
        <v>5075000</v>
      </c>
      <c r="G66" s="50">
        <f t="shared" si="6"/>
        <v>2158553.3431487037</v>
      </c>
    </row>
    <row r="67" spans="1:7" x14ac:dyDescent="0.3">
      <c r="A67" s="55">
        <v>6</v>
      </c>
      <c r="B67" s="55">
        <v>2032</v>
      </c>
      <c r="C67" s="50">
        <f>IF(Assumptions_Config!$D$8=0,B21,B21*(B22/B21)^(A67/Assumptions_Config!$D$8))</f>
        <v>8607150.5075063612</v>
      </c>
      <c r="D67" s="50">
        <f>IF(Assumptions_Config!$D$8=0,B21,B21*(B23/B21)^(A67/Assumptions_Config!$D$8))</f>
        <v>8097445.9585499754</v>
      </c>
      <c r="E67" s="50">
        <f>D67/(1+Assumptions_Config!$D$5)^A67</f>
        <v>4570797.1436207797</v>
      </c>
      <c r="F67" s="50">
        <f>SUMPRODUCT((Major_Expenses!D5:D9&lt;=2032)*Major_Expenses!J5:J9)</f>
        <v>8618122.0000000019</v>
      </c>
      <c r="G67" s="50">
        <f t="shared" si="6"/>
        <v>-520676.04145002645</v>
      </c>
    </row>
    <row r="68" spans="1:7" x14ac:dyDescent="0.3">
      <c r="A68" s="55">
        <v>7</v>
      </c>
      <c r="B68" s="55">
        <v>2033</v>
      </c>
      <c r="C68" s="50">
        <f>IF(Assumptions_Config!$D$8=0,B21,B21*(B22/B21)^(A68/Assumptions_Config!$D$8))</f>
        <v>9733618.5684854444</v>
      </c>
      <c r="D68" s="50">
        <f>IF(Assumptions_Config!$D$8=0,B21,B21*(B23/B21)^(A68/Assumptions_Config!$D$8))</f>
        <v>9064511.9958562218</v>
      </c>
      <c r="E68" s="50">
        <f>D68/(1+Assumptions_Config!$D$5)^A68</f>
        <v>4651527.9184732437</v>
      </c>
      <c r="F68" s="50">
        <f>SUMPRODUCT((Major_Expenses!D5:D9&lt;=2033)*Major_Expenses!J5:J9)</f>
        <v>8618122.0000000019</v>
      </c>
      <c r="G68" s="50">
        <f t="shared" si="6"/>
        <v>446389.9958562199</v>
      </c>
    </row>
    <row r="69" spans="1:7" x14ac:dyDescent="0.3">
      <c r="A69" s="55">
        <v>8</v>
      </c>
      <c r="B69" s="55">
        <v>2034</v>
      </c>
      <c r="C69" s="50">
        <f>IF(Assumptions_Config!$D$8=0,B21,B21*(B22/B21)^(A69/Assumptions_Config!$D$8))</f>
        <v>11007514.084264971</v>
      </c>
      <c r="D69" s="50">
        <f>IF(Assumptions_Config!$D$8=0,B21,B21*(B23/B21)^(A69/Assumptions_Config!$D$8))</f>
        <v>10147073.304794846</v>
      </c>
      <c r="E69" s="50">
        <f>D69/(1+Assumptions_Config!$D$5)^A69</f>
        <v>4733684.5842159633</v>
      </c>
      <c r="F69" s="50">
        <f>SUMPRODUCT((Major_Expenses!D5:D9&lt;=2034)*Major_Expenses!J5:J9)</f>
        <v>8618122.0000000019</v>
      </c>
      <c r="G69" s="50">
        <f t="shared" si="6"/>
        <v>1528951.3047948442</v>
      </c>
    </row>
    <row r="70" spans="1:7" x14ac:dyDescent="0.3">
      <c r="A70" s="55">
        <v>9</v>
      </c>
      <c r="B70" s="55">
        <v>2035</v>
      </c>
      <c r="C70" s="50">
        <f>IF(Assumptions_Config!$D$8=0,B21,B21*(B22/B21)^(A70/Assumptions_Config!$D$8))</f>
        <v>12448131.746973222</v>
      </c>
      <c r="D70" s="50">
        <f>IF(Assumptions_Config!$D$8=0,B21,B21*(B23/B21)^(A70/Assumptions_Config!$D$8))</f>
        <v>11358923.315446995</v>
      </c>
      <c r="E70" s="50">
        <f>D70/(1+Assumptions_Config!$D$5)^A70</f>
        <v>4817292.3253567582</v>
      </c>
      <c r="F70" s="50">
        <f>SUMPRODUCT((Major_Expenses!D5:D9&lt;=2035)*Major_Expenses!J5:J9)</f>
        <v>15691965.073000006</v>
      </c>
      <c r="G70" s="50">
        <f t="shared" si="6"/>
        <v>-4333041.7575530112</v>
      </c>
    </row>
    <row r="71" spans="1:7" x14ac:dyDescent="0.3">
      <c r="A71" s="55">
        <v>10</v>
      </c>
      <c r="B71" s="55">
        <v>2036</v>
      </c>
      <c r="C71" s="50">
        <f>IF(Assumptions_Config!$D$8=0,B21,B21*(B22/B21)^(A71/Assumptions_Config!$D$8))</f>
        <v>14077291.457796924</v>
      </c>
      <c r="D71" s="50">
        <f>IF(Assumptions_Config!$D$8=0,B21,B21*(B23/B21)^(A71/Assumptions_Config!$D$8))</f>
        <v>12715502.786920484</v>
      </c>
      <c r="E71" s="50">
        <f>D71/(1+Assumptions_Config!$D$5)^A71</f>
        <v>4902376.7712196978</v>
      </c>
      <c r="F71" s="50">
        <f>SUMPRODUCT((Major_Expenses!D5:D9&lt;=2036)*Major_Expenses!J5:J9)</f>
        <v>15691965.073000006</v>
      </c>
      <c r="G71" s="50">
        <f t="shared" si="6"/>
        <v>-2976462.2860795222</v>
      </c>
    </row>
    <row r="72" spans="1:7" x14ac:dyDescent="0.3">
      <c r="A72" s="55">
        <v>11</v>
      </c>
      <c r="B72" s="55">
        <v>2037</v>
      </c>
      <c r="C72" s="50">
        <f>IF(Assumptions_Config!$D$8=0,B21,B21*(B22/B21)^(A72/Assumptions_Config!$D$8))</f>
        <v>15919668.815840377</v>
      </c>
      <c r="D72" s="50">
        <f>IF(Assumptions_Config!$D$8=0,B21,B21*(B23/B21)^(A72/Assumptions_Config!$D$8))</f>
        <v>14234096.545427734</v>
      </c>
      <c r="E72" s="50">
        <f>D72/(1+Assumptions_Config!$D$5)^A72</f>
        <v>4988964.0038015805</v>
      </c>
      <c r="F72" s="50">
        <f>SUMPRODUCT((Major_Expenses!D5:D9&lt;=2037)*Major_Expenses!J5:J9)</f>
        <v>15691965.073000006</v>
      </c>
      <c r="G72" s="50">
        <f t="shared" si="6"/>
        <v>-1457868.5275722723</v>
      </c>
    </row>
    <row r="73" spans="1:7" x14ac:dyDescent="0.3">
      <c r="A73" s="55">
        <v>12</v>
      </c>
      <c r="B73" s="55">
        <v>2038</v>
      </c>
      <c r="C73" s="50">
        <f>IF(Assumptions_Config!$D$8=0,B21,B21*(B22/B21)^(A73/Assumptions_Config!$D$8))</f>
        <v>18003168.859991975</v>
      </c>
      <c r="D73" s="50">
        <f>IF(Assumptions_Config!$D$8=0,B21,B21*(B23/B21)^(A73/Assumptions_Config!$D$8))</f>
        <v>15934053.718502387</v>
      </c>
      <c r="E73" s="50">
        <f>D73/(1+Assumptions_Config!$D$5)^A73</f>
        <v>5077080.5657671634</v>
      </c>
      <c r="F73" s="50">
        <f>SUMPRODUCT((Major_Expenses!D5:D9&lt;=2038)*Major_Expenses!J5:J9)</f>
        <v>15691965.073000006</v>
      </c>
      <c r="G73" s="50">
        <f t="shared" si="6"/>
        <v>242088.64550238103</v>
      </c>
    </row>
    <row r="74" spans="1:7" x14ac:dyDescent="0.3">
      <c r="A74" s="55">
        <v>13</v>
      </c>
      <c r="B74" s="55">
        <v>2039</v>
      </c>
      <c r="C74" s="50">
        <f>IF(Assumptions_Config!$D$8=0,B21,B21*(B22/B21)^(A74/Assumptions_Config!$D$8))</f>
        <v>20359348.724571768</v>
      </c>
      <c r="D74" s="50">
        <f>IF(Assumptions_Config!$D$8=0,B21,B21*(B23/B21)^(A74/Assumptions_Config!$D$8))</f>
        <v>17837034.271463849</v>
      </c>
      <c r="E74" s="50">
        <f>D74/(1+Assumptions_Config!$D$5)^A74</f>
        <v>5166753.4685856178</v>
      </c>
      <c r="F74" s="50">
        <f>SUMPRODUCT((Major_Expenses!D5:D9&lt;=2039)*Major_Expenses!J5:J9)</f>
        <v>15691965.073000006</v>
      </c>
      <c r="G74" s="50">
        <f t="shared" si="6"/>
        <v>2145069.1984638423</v>
      </c>
    </row>
    <row r="75" spans="1:7" x14ac:dyDescent="0.3">
      <c r="A75" s="55">
        <v>14</v>
      </c>
      <c r="B75" s="55">
        <v>2040</v>
      </c>
      <c r="C75" s="50">
        <f>IF(Assumptions_Config!$D$8=0,B21,B21*(B22/B21)^(A75/Assumptions_Config!$D$8))</f>
        <v>23023895.610392381</v>
      </c>
      <c r="D75" s="50">
        <f>IF(Assumptions_Config!$D$8=0,B21,B21*(B23/B21)^(A75/Assumptions_Config!$D$8))</f>
        <v>19967284.987368498</v>
      </c>
      <c r="E75" s="50">
        <f>D75/(1+Assumptions_Config!$D$5)^A75</f>
        <v>5258010.2008107025</v>
      </c>
      <c r="F75" s="50">
        <f>SUMPRODUCT((Major_Expenses!D5:D9&lt;=2040)*Major_Expenses!J5:J9)</f>
        <v>15691965.073000006</v>
      </c>
      <c r="G75" s="50">
        <f t="shared" si="6"/>
        <v>4275319.9143684916</v>
      </c>
    </row>
    <row r="76" spans="1:7" x14ac:dyDescent="0.3">
      <c r="A76" s="55">
        <v>15</v>
      </c>
      <c r="B76" s="55">
        <v>2041</v>
      </c>
      <c r="C76" s="50">
        <f>IF(Assumptions_Config!$D$8=0,B21,B21*(B22/B21)^(A76/Assumptions_Config!$D$8))</f>
        <v>26037167.310684469</v>
      </c>
      <c r="D76" s="50">
        <f>IF(Assumptions_Config!$D$8=0,B21,B21*(B23/B21)^(A76/Assumptions_Config!$D$8))</f>
        <v>22351948.406839691</v>
      </c>
      <c r="E76" s="50">
        <f>D76/(1+Assumptions_Config!$D$5)^A76</f>
        <v>5350878.7365071606</v>
      </c>
      <c r="F76" s="50">
        <f>SUMPRODUCT((Major_Expenses!D5:D9&lt;=2041)*Major_Expenses!J5:J9)</f>
        <v>15691965.073000006</v>
      </c>
      <c r="G76" s="50">
        <f t="shared" si="6"/>
        <v>6659983.3338396847</v>
      </c>
    </row>
    <row r="77" spans="1:7" x14ac:dyDescent="0.3">
      <c r="A77" s="55">
        <v>16</v>
      </c>
      <c r="B77" s="55">
        <v>2042</v>
      </c>
      <c r="C77" s="50">
        <f>IF(Assumptions_Config!$D$8=0,B21,B21*(B22/B21)^(A77/Assumptions_Config!$D$8))</f>
        <v>29444803.478807222</v>
      </c>
      <c r="D77" s="50">
        <f>IF(Assumptions_Config!$D$8=0,B21,B21*(B23/B21)^(A77/Assumptions_Config!$D$8))</f>
        <v>25021408.664126415</v>
      </c>
      <c r="E77" s="50">
        <f>D77/(1+Assumptions_Config!$D$5)^A77</f>
        <v>5445387.5438259663</v>
      </c>
      <c r="F77" s="50">
        <f>SUMPRODUCT((Major_Expenses!D5:D9&lt;=2042)*Major_Expenses!J5:J9)</f>
        <v>15691965.073000006</v>
      </c>
      <c r="G77" s="50">
        <f t="shared" si="6"/>
        <v>9329443.5911264084</v>
      </c>
    </row>
    <row r="78" spans="1:7" x14ac:dyDescent="0.3">
      <c r="A78" s="55">
        <v>17</v>
      </c>
      <c r="B78" s="55">
        <v>2043</v>
      </c>
      <c r="C78" s="50">
        <f>IF(Assumptions_Config!$D$8=0,B21,B21*(B22/B21)^(A78/Assumptions_Config!$D$8))</f>
        <v>33298416.896134559</v>
      </c>
      <c r="D78" s="50">
        <f>IF(Assumptions_Config!$D$8=0,B21,B21*(B23/B21)^(A78/Assumptions_Config!$D$8))</f>
        <v>28009678.625852723</v>
      </c>
      <c r="E78" s="50">
        <f>D78/(1+Assumptions_Config!$D$5)^A78</f>
        <v>5541565.5937310206</v>
      </c>
      <c r="F78" s="50">
        <f>SUMPRODUCT((Major_Expenses!D5:D9&lt;=2043)*Major_Expenses!J5:J9)</f>
        <v>15691965.073000006</v>
      </c>
      <c r="G78" s="50">
        <f t="shared" si="6"/>
        <v>12317713.552852716</v>
      </c>
    </row>
    <row r="79" spans="1:7" x14ac:dyDescent="0.3">
      <c r="A79" s="55">
        <v>18</v>
      </c>
      <c r="B79" s="55">
        <v>2044</v>
      </c>
      <c r="C79" s="50">
        <f>IF(Assumptions_Config!$D$8=0,B21,B21*(B22/B21)^(A79/Assumptions_Config!$D$8))</f>
        <v>37656375.210207187</v>
      </c>
      <c r="D79" s="50">
        <f>IF(Assumptions_Config!$D$8=0,B21,B21*(B23/B21)^(A79/Assumptions_Config!$D$8))</f>
        <v>31354833.265177481</v>
      </c>
      <c r="E79" s="50">
        <f>D79/(1+Assumptions_Config!$D$5)^A79</f>
        <v>5639442.3688799804</v>
      </c>
      <c r="F79" s="50">
        <f>SUMPRODUCT((Major_Expenses!D5:D9&lt;=2044)*Major_Expenses!J5:J9)</f>
        <v>15691965.073000006</v>
      </c>
      <c r="G79" s="50">
        <f t="shared" si="6"/>
        <v>15662868.192177474</v>
      </c>
    </row>
    <row r="80" spans="1:7" x14ac:dyDescent="0.3">
      <c r="A80" s="55">
        <v>19</v>
      </c>
      <c r="B80" s="55">
        <v>2045</v>
      </c>
      <c r="C80" s="50">
        <f>IF(Assumptions_Config!$D$8=0,B21,B21*(B22/B21)^(A80/Assumptions_Config!$D$8))</f>
        <v>42584684.983522929</v>
      </c>
      <c r="D80" s="50">
        <f>IF(Assumptions_Config!$D$8=0,B21,B21*(B23/B21)^(A80/Assumptions_Config!$D$8))</f>
        <v>35099494.793191329</v>
      </c>
      <c r="E80" s="50">
        <f>D80/(1+Assumptions_Config!$D$5)^A80</f>
        <v>5739047.8726619417</v>
      </c>
      <c r="F80" s="50">
        <f>SUMPRODUCT((Major_Expenses!D5:D9&lt;=2045)*Major_Expenses!J5:J9)</f>
        <v>15691965.073000006</v>
      </c>
      <c r="G80" s="50">
        <f t="shared" si="6"/>
        <v>19407529.720191322</v>
      </c>
    </row>
    <row r="81" spans="1:10" x14ac:dyDescent="0.3">
      <c r="A81" s="55">
        <v>20</v>
      </c>
      <c r="B81" s="55">
        <v>2046</v>
      </c>
      <c r="C81" s="50">
        <f>IF(Assumptions_Config!$D$8=0,B21,B21*(B22/B21)^(A81/Assumptions_Config!$D$8))</f>
        <v>48157991.442955576</v>
      </c>
      <c r="D81" s="50">
        <f>IF(Assumptions_Config!$D$8=0,B21,B21*(B23/B21)^(A81/Assumptions_Config!$D$8))</f>
        <v>39291375.728841461</v>
      </c>
      <c r="E81" s="50">
        <f>D81/(1+Assumptions_Config!$D$5)^A81</f>
        <v>5840412.6383947702</v>
      </c>
      <c r="F81" s="50">
        <f>SUMPRODUCT((Major_Expenses!D5:D9&lt;=2046)*Major_Expenses!J5:J9)</f>
        <v>15691965.073000006</v>
      </c>
      <c r="G81" s="50">
        <f t="shared" si="6"/>
        <v>23599410.655841455</v>
      </c>
    </row>
    <row r="84" spans="1:10" ht="28.05" customHeight="1" x14ac:dyDescent="0.3">
      <c r="A84" s="80" t="s">
        <v>475</v>
      </c>
      <c r="B84" s="81"/>
      <c r="C84" s="81"/>
      <c r="D84" s="81"/>
      <c r="E84" s="81"/>
      <c r="F84" s="81"/>
      <c r="G84" s="81"/>
      <c r="H84" s="81"/>
      <c r="I84" s="81"/>
      <c r="J84" s="81"/>
    </row>
    <row r="86" spans="1:10" x14ac:dyDescent="0.3">
      <c r="A86" s="51" t="s">
        <v>476</v>
      </c>
      <c r="B86" s="9">
        <f>Assumptions_Config!$D$14-Assumptions_Config!$D$15</f>
        <v>10</v>
      </c>
    </row>
    <row r="87" spans="1:10" x14ac:dyDescent="0.3">
      <c r="A87" s="51" t="s">
        <v>477</v>
      </c>
      <c r="B87" s="9">
        <f>Assumptions_Config!$D$16-Assumptions_Config!$D$14</f>
        <v>15</v>
      </c>
    </row>
    <row r="88" spans="1:10" ht="27.6" x14ac:dyDescent="0.3">
      <c r="A88" s="51" t="s">
        <v>478</v>
      </c>
      <c r="B88" s="23">
        <f>Assumptions_Config!$D$12*(1+Assumptions_Config!$D$5)^B86</f>
        <v>129687.12300500009</v>
      </c>
    </row>
    <row r="89" spans="1:10" ht="27.6" x14ac:dyDescent="0.3">
      <c r="A89" s="51" t="s">
        <v>479</v>
      </c>
      <c r="B89" s="23">
        <f>B88*12</f>
        <v>1556245.4760600012</v>
      </c>
    </row>
    <row r="90" spans="1:10" ht="27.6" x14ac:dyDescent="0.3">
      <c r="A90" s="51" t="s">
        <v>480</v>
      </c>
      <c r="B90" s="23">
        <f>B89*((1-(1+Assumptions_Config!$D$65)^(-B87))/Assumptions_Config!$D$65)</f>
        <v>18578357.472293232</v>
      </c>
    </row>
    <row r="91" spans="1:10" ht="27.6" x14ac:dyDescent="0.3">
      <c r="A91" s="51" t="s">
        <v>481</v>
      </c>
      <c r="B91" s="23">
        <f>B23</f>
        <v>22351948.406839691</v>
      </c>
    </row>
    <row r="92" spans="1:10" ht="27.6" x14ac:dyDescent="0.3">
      <c r="A92" s="51" t="s">
        <v>482</v>
      </c>
      <c r="B92" s="42">
        <f>B91-B90</f>
        <v>3773590.9345464595</v>
      </c>
    </row>
    <row r="93" spans="1:10" x14ac:dyDescent="0.3">
      <c r="A93" s="51" t="s">
        <v>483</v>
      </c>
      <c r="B93" s="56">
        <f>IF(B90=0,0,MIN(B91/B90,1.5))</f>
        <v>1.2031175759307136</v>
      </c>
    </row>
    <row r="96" spans="1:10" ht="28.05" customHeight="1" x14ac:dyDescent="0.3">
      <c r="A96" s="80" t="s">
        <v>484</v>
      </c>
      <c r="B96" s="81"/>
      <c r="C96" s="81"/>
      <c r="D96" s="81"/>
      <c r="E96" s="81"/>
      <c r="F96" s="81"/>
      <c r="G96" s="81"/>
      <c r="H96" s="81"/>
      <c r="I96" s="81"/>
      <c r="J96" s="81"/>
    </row>
    <row r="97" spans="1:6" x14ac:dyDescent="0.3">
      <c r="A97" s="1" t="s">
        <v>187</v>
      </c>
      <c r="B97" s="1" t="s">
        <v>485</v>
      </c>
      <c r="C97" s="1" t="s">
        <v>486</v>
      </c>
      <c r="D97" s="1" t="s">
        <v>487</v>
      </c>
      <c r="E97" s="1" t="s">
        <v>488</v>
      </c>
      <c r="F97" s="1" t="s">
        <v>489</v>
      </c>
    </row>
    <row r="98" spans="1:6" x14ac:dyDescent="0.3">
      <c r="A98" s="35" t="str">
        <f>Assumptions_Config!C48</f>
        <v>2008 Crisis</v>
      </c>
      <c r="B98" s="53">
        <f>Assumptions_Config!D48</f>
        <v>-0.52</v>
      </c>
      <c r="C98" s="53">
        <f>Assumptions_Config!E48</f>
        <v>-0.05</v>
      </c>
      <c r="D98" s="53">
        <f>Assumptions_Config!F48</f>
        <v>0.25</v>
      </c>
      <c r="E98" s="34">
        <f>B21*(B98*D45+C98*D46+D98*D47)</f>
        <v>112399.99999999991</v>
      </c>
      <c r="F98" s="57">
        <f>IF(E98&gt;=0,0,IFERROR(LOG(1-E98/B21)/LOG(1+Assumptions_Config!$D$64),99))</f>
        <v>0</v>
      </c>
    </row>
    <row r="99" spans="1:6" x14ac:dyDescent="0.3">
      <c r="A99" s="35" t="str">
        <f>Assumptions_Config!C49</f>
        <v>COVID 2020</v>
      </c>
      <c r="B99" s="53">
        <f>Assumptions_Config!D49</f>
        <v>-0.38</v>
      </c>
      <c r="C99" s="53">
        <f>Assumptions_Config!E49</f>
        <v>-0.02</v>
      </c>
      <c r="D99" s="53">
        <f>Assumptions_Config!F49</f>
        <v>0.15</v>
      </c>
      <c r="E99" s="34">
        <f>B21*(B99*D45+C99*D46+D99*D47)</f>
        <v>17899.999999999942</v>
      </c>
      <c r="F99" s="57">
        <f>IF(E99&gt;=0,0,IFERROR(LOG(1-E99/B21)/LOG(1+Assumptions_Config!$D$64),99))</f>
        <v>0</v>
      </c>
    </row>
    <row r="100" spans="1:6" x14ac:dyDescent="0.3">
      <c r="A100" s="35" t="str">
        <f>Assumptions_Config!C50</f>
        <v>2013 Taper</v>
      </c>
      <c r="B100" s="53">
        <f>Assumptions_Config!D50</f>
        <v>-0.25</v>
      </c>
      <c r="C100" s="53">
        <f>Assumptions_Config!E50</f>
        <v>-0.08</v>
      </c>
      <c r="D100" s="53">
        <f>Assumptions_Config!F50</f>
        <v>-0.1</v>
      </c>
      <c r="E100" s="34">
        <f>B21*(B100*D45+C100*D46+D100*D47)</f>
        <v>-522550</v>
      </c>
      <c r="F100" s="57">
        <f>IF(E100&gt;=0,0,IFERROR(LOG(1-E100/B21)/LOG(1+Assumptions_Config!$D$64),99))</f>
        <v>1.0548730455463082</v>
      </c>
    </row>
    <row r="101" spans="1:6" x14ac:dyDescent="0.3">
      <c r="A101" s="35" t="str">
        <f>Assumptions_Config!C51</f>
        <v>Inflation Spike</v>
      </c>
      <c r="B101" s="53">
        <f>Assumptions_Config!D51</f>
        <v>-0.15</v>
      </c>
      <c r="C101" s="53">
        <f>Assumptions_Config!E51</f>
        <v>-0.1</v>
      </c>
      <c r="D101" s="53">
        <f>Assumptions_Config!F51</f>
        <v>0.2</v>
      </c>
      <c r="E101" s="34">
        <f>B21*(B101*D45+C101*D46+D101*D47)</f>
        <v>265750</v>
      </c>
      <c r="F101" s="57">
        <f>IF(E101&gt;=0,0,IFERROR(LOG(1-E101/B21)/LOG(1+Assumptions_Config!$D$64),99))</f>
        <v>0</v>
      </c>
    </row>
    <row r="102" spans="1:6" x14ac:dyDescent="0.3">
      <c r="A102" s="35" t="str">
        <f>Assumptions_Config!C52</f>
        <v>Custom</v>
      </c>
      <c r="B102" s="53">
        <f>Assumptions_Config!D52</f>
        <v>-0.3</v>
      </c>
      <c r="C102" s="53">
        <f>Assumptions_Config!E52</f>
        <v>-0.05</v>
      </c>
      <c r="D102" s="53">
        <f>Assumptions_Config!F52</f>
        <v>0.1</v>
      </c>
      <c r="E102" s="34">
        <f>B21*(B102*D45+C102*D46+D102*D47)</f>
        <v>-59500.000000000029</v>
      </c>
      <c r="F102" s="57">
        <f>IF(E102&gt;=0,0,IFERROR(LOG(1-E102/B21)/LOG(1+Assumptions_Config!$D$64),99))</f>
        <v>0.12667363504655368</v>
      </c>
    </row>
  </sheetData>
  <mergeCells count="9">
    <mergeCell ref="A1:V1"/>
    <mergeCell ref="A50:J50"/>
    <mergeCell ref="A96:J96"/>
    <mergeCell ref="A4:V4"/>
    <mergeCell ref="A2:V2"/>
    <mergeCell ref="A20:L20"/>
    <mergeCell ref="A84:J84"/>
    <mergeCell ref="A59:H59"/>
    <mergeCell ref="A43:H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BC9C"/>
  </sheetPr>
  <dimension ref="A1:J11"/>
  <sheetViews>
    <sheetView showGridLines="0" workbookViewId="0">
      <selection sqref="A1:J1"/>
    </sheetView>
  </sheetViews>
  <sheetFormatPr defaultRowHeight="14.4" x14ac:dyDescent="0.3"/>
  <cols>
    <col min="1" max="1" width="30" customWidth="1"/>
    <col min="2" max="2" width="16" customWidth="1"/>
    <col min="3" max="4" width="18" customWidth="1"/>
    <col min="5" max="5" width="16" customWidth="1"/>
    <col min="6" max="6" width="12" customWidth="1"/>
  </cols>
  <sheetData>
    <row r="1" spans="1:10" ht="49.95" customHeight="1" x14ac:dyDescent="0.3">
      <c r="A1" s="91" t="s">
        <v>490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5.95" customHeight="1" x14ac:dyDescent="0.3">
      <c r="A2" s="84" t="s">
        <v>491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ht="28.05" customHeight="1" x14ac:dyDescent="0.3">
      <c r="A4" s="80" t="s">
        <v>492</v>
      </c>
      <c r="B4" s="81"/>
      <c r="C4" s="81"/>
      <c r="D4" s="81"/>
      <c r="E4" s="81"/>
      <c r="F4" s="81"/>
      <c r="G4" s="81"/>
      <c r="H4" s="81"/>
      <c r="I4" s="81"/>
      <c r="J4" s="81"/>
    </row>
    <row r="5" spans="1:10" x14ac:dyDescent="0.3">
      <c r="A5" s="1" t="s">
        <v>493</v>
      </c>
      <c r="B5" s="1" t="s">
        <v>494</v>
      </c>
      <c r="C5" s="1" t="s">
        <v>495</v>
      </c>
      <c r="D5" s="1" t="s">
        <v>496</v>
      </c>
      <c r="E5" s="1" t="s">
        <v>497</v>
      </c>
      <c r="F5" s="1" t="s">
        <v>498</v>
      </c>
      <c r="H5" s="95" t="s">
        <v>499</v>
      </c>
      <c r="I5" s="96"/>
      <c r="J5" s="97"/>
    </row>
    <row r="6" spans="1:10" x14ac:dyDescent="0.3">
      <c r="A6" s="58" t="s">
        <v>500</v>
      </c>
      <c r="B6" s="59">
        <v>5000</v>
      </c>
      <c r="C6" s="50">
        <f>Helper_Calcs!B23</f>
        <v>22351948.406839691</v>
      </c>
      <c r="D6" s="50">
        <f>C6+B6*((1+Assumptions_Config!$D$64/12)^(Assumptions_Config!$D$8*12)-1)/(Assumptions_Config!$D$64/12)*(1-Assumptions_Config!$D$6)</f>
        <v>24225374.147598259</v>
      </c>
      <c r="E6" s="50">
        <f t="shared" ref="E6:E11" si="0">D6-C6</f>
        <v>1873425.740758568</v>
      </c>
      <c r="F6" s="60">
        <f t="shared" ref="F6:F11" si="1">IF(C6=0,0,E6/C6)</f>
        <v>8.3814874061954273E-2</v>
      </c>
      <c r="H6" s="98"/>
      <c r="I6" s="77"/>
      <c r="J6" s="99"/>
    </row>
    <row r="7" spans="1:10" x14ac:dyDescent="0.3">
      <c r="A7" s="58" t="s">
        <v>501</v>
      </c>
      <c r="B7" s="59">
        <v>1000000</v>
      </c>
      <c r="C7" s="50">
        <f>Helper_Calcs!B23</f>
        <v>22351948.406839691</v>
      </c>
      <c r="D7" s="50">
        <f>C7+B7*(1+Assumptions_Config!$D$64)^Assumptions_Config!$D$8*(1-Assumptions_Config!$D$6)</f>
        <v>26457122.726282474</v>
      </c>
      <c r="E7" s="50">
        <f t="shared" si="0"/>
        <v>4105174.3194427826</v>
      </c>
      <c r="F7" s="60">
        <f t="shared" si="1"/>
        <v>0.18366069233528654</v>
      </c>
      <c r="H7" s="98"/>
      <c r="I7" s="77"/>
      <c r="J7" s="99"/>
    </row>
    <row r="8" spans="1:10" x14ac:dyDescent="0.3">
      <c r="A8" s="58" t="s">
        <v>502</v>
      </c>
      <c r="B8" s="59">
        <v>0</v>
      </c>
      <c r="C8" s="50">
        <f>Helper_Calcs!B23</f>
        <v>22351948.406839691</v>
      </c>
      <c r="D8" s="50">
        <f>C8-Helper_Calcs!B35*24*(1+Assumptions_Config!$D$64)^(Assumptions_Config!$D$8-2)</f>
        <v>19524404.870488796</v>
      </c>
      <c r="E8" s="50">
        <f t="shared" si="0"/>
        <v>-2827543.5363508947</v>
      </c>
      <c r="F8" s="60">
        <f t="shared" si="1"/>
        <v>-0.12650098706767179</v>
      </c>
      <c r="H8" s="98"/>
      <c r="I8" s="77"/>
      <c r="J8" s="99"/>
    </row>
    <row r="9" spans="1:10" x14ac:dyDescent="0.3">
      <c r="A9" s="58" t="s">
        <v>503</v>
      </c>
      <c r="B9" s="59">
        <v>0</v>
      </c>
      <c r="C9" s="50">
        <f>Helper_Calcs!B23</f>
        <v>22351948.406839691</v>
      </c>
      <c r="D9" s="50">
        <f>C9*(1+Assumptions_Config!$D$66)</f>
        <v>19669714.598018929</v>
      </c>
      <c r="E9" s="50">
        <f t="shared" si="0"/>
        <v>-2682233.8088207617</v>
      </c>
      <c r="F9" s="60">
        <f t="shared" si="1"/>
        <v>-0.11999999999999994</v>
      </c>
      <c r="H9" s="98"/>
      <c r="I9" s="77"/>
      <c r="J9" s="99"/>
    </row>
    <row r="10" spans="1:10" x14ac:dyDescent="0.3">
      <c r="A10" s="58" t="s">
        <v>504</v>
      </c>
      <c r="B10" s="59">
        <v>0</v>
      </c>
      <c r="C10" s="50">
        <f>Helper_Calcs!B23</f>
        <v>22351948.406839691</v>
      </c>
      <c r="D10" s="50">
        <f>C10*(1+Assumptions_Config!$D$67)</f>
        <v>20787312.018360913</v>
      </c>
      <c r="E10" s="50">
        <f t="shared" si="0"/>
        <v>-1564636.3884787783</v>
      </c>
      <c r="F10" s="60">
        <f t="shared" si="1"/>
        <v>-6.9999999999999993E-2</v>
      </c>
      <c r="H10" s="98"/>
      <c r="I10" s="77"/>
      <c r="J10" s="99"/>
    </row>
    <row r="11" spans="1:10" x14ac:dyDescent="0.3">
      <c r="A11" s="58" t="s">
        <v>505</v>
      </c>
      <c r="B11" s="59">
        <v>0</v>
      </c>
      <c r="C11" s="50">
        <f>Helper_Calcs!B23</f>
        <v>22351948.406839691</v>
      </c>
      <c r="D11" s="50">
        <f>C11*(1+Assumptions_Config!$D$68)</f>
        <v>23469545.827181678</v>
      </c>
      <c r="E11" s="50">
        <f t="shared" si="0"/>
        <v>1117597.4203419872</v>
      </c>
      <c r="F11" s="60">
        <f t="shared" si="1"/>
        <v>5.0000000000000114E-2</v>
      </c>
      <c r="H11" s="100"/>
      <c r="I11" s="101"/>
      <c r="J11" s="102"/>
    </row>
  </sheetData>
  <mergeCells count="4">
    <mergeCell ref="A1:J1"/>
    <mergeCell ref="A4:J4"/>
    <mergeCell ref="H5:J1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B2A4A"/>
  </sheetPr>
  <dimension ref="A1:L30"/>
  <sheetViews>
    <sheetView showGridLines="0" workbookViewId="0">
      <selection sqref="A1:L1"/>
    </sheetView>
  </sheetViews>
  <sheetFormatPr defaultRowHeight="14.4" x14ac:dyDescent="0.3"/>
  <cols>
    <col min="1" max="1" width="4" customWidth="1"/>
    <col min="2" max="2" width="40" customWidth="1"/>
    <col min="3" max="3" width="12" customWidth="1"/>
    <col min="4" max="4" width="14" customWidth="1"/>
    <col min="5" max="5" width="12" customWidth="1"/>
    <col min="6" max="6" width="36" customWidth="1"/>
  </cols>
  <sheetData>
    <row r="1" spans="1:12" ht="49.95" customHeight="1" x14ac:dyDescent="0.3">
      <c r="A1" s="83" t="s">
        <v>506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5.95" customHeight="1" x14ac:dyDescent="0.3">
      <c r="A2" s="84" t="s">
        <v>507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4" spans="1:12" ht="28.05" customHeight="1" x14ac:dyDescent="0.3">
      <c r="A4" s="80" t="s">
        <v>508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x14ac:dyDescent="0.3">
      <c r="A5" s="1" t="s">
        <v>509</v>
      </c>
      <c r="B5" s="1" t="s">
        <v>510</v>
      </c>
      <c r="C5" s="1" t="s">
        <v>511</v>
      </c>
      <c r="D5" s="1" t="s">
        <v>512</v>
      </c>
      <c r="E5" s="1" t="s">
        <v>385</v>
      </c>
      <c r="F5" s="1" t="s">
        <v>513</v>
      </c>
    </row>
    <row r="6" spans="1:12" ht="18" x14ac:dyDescent="0.3">
      <c r="A6" s="61">
        <v>1</v>
      </c>
      <c r="B6" s="11" t="s">
        <v>514</v>
      </c>
      <c r="C6" s="62">
        <f>IF(Income_Expenses!B33&gt;0.3,10,IF(Income_Expenses!B33&gt;0.2,7,IF(Income_Expenses!B33&gt;0.1,5,3)))</f>
        <v>10</v>
      </c>
      <c r="D6" s="61">
        <v>10</v>
      </c>
      <c r="E6" s="55" t="str">
        <f t="shared" ref="E6:E15" si="0">IF(C6&gt;=8,"🟢 Strong",IF(C6&gt;=5,"🟡 Fair","🔴 Weak"))</f>
        <v>🟢 Strong</v>
      </c>
      <c r="F6" s="63" t="s">
        <v>515</v>
      </c>
    </row>
    <row r="7" spans="1:12" ht="18" x14ac:dyDescent="0.3">
      <c r="A7" s="61">
        <v>2</v>
      </c>
      <c r="B7" s="11" t="s">
        <v>389</v>
      </c>
      <c r="C7" s="62">
        <f>IF(Helper_Calcs!B38&gt;1,10,IF(Helper_Calcs!B38&gt;0.7,7,IF(Helper_Calcs!B38&gt;0.4,4,2)))</f>
        <v>7</v>
      </c>
      <c r="D7" s="61">
        <v>10</v>
      </c>
      <c r="E7" s="55" t="str">
        <f t="shared" si="0"/>
        <v>🟡 Fair</v>
      </c>
      <c r="F7" s="63" t="s">
        <v>516</v>
      </c>
    </row>
    <row r="8" spans="1:12" ht="18" x14ac:dyDescent="0.3">
      <c r="A8" s="61">
        <v>3</v>
      </c>
      <c r="B8" s="11" t="s">
        <v>517</v>
      </c>
      <c r="C8" s="62">
        <f>IF(Debt_Tracker!C15&gt;1,2,IF(Debt_Tracker!C15&gt;0.5,5,IF(Debt_Tracker!C15&gt;0.2,7,9)))</f>
        <v>2</v>
      </c>
      <c r="D8" s="61">
        <v>10</v>
      </c>
      <c r="E8" s="55" t="str">
        <f t="shared" si="0"/>
        <v>🔴 Weak</v>
      </c>
      <c r="F8" s="63" t="s">
        <v>518</v>
      </c>
    </row>
    <row r="9" spans="1:12" ht="18" x14ac:dyDescent="0.3">
      <c r="A9" s="61">
        <v>4</v>
      </c>
      <c r="B9" s="11" t="s">
        <v>519</v>
      </c>
      <c r="C9" s="62">
        <f>IF(Insurance_Summary!B14&lt;=0,9,IF(Insurance_Summary!B14&lt;5000000,6,3))</f>
        <v>3</v>
      </c>
      <c r="D9" s="61">
        <v>10</v>
      </c>
      <c r="E9" s="55" t="str">
        <f t="shared" si="0"/>
        <v>🔴 Weak</v>
      </c>
      <c r="F9" s="63" t="s">
        <v>520</v>
      </c>
    </row>
    <row r="10" spans="1:12" ht="18" x14ac:dyDescent="0.3">
      <c r="A10" s="61">
        <v>5</v>
      </c>
      <c r="B10" s="11" t="s">
        <v>521</v>
      </c>
      <c r="C10" s="62">
        <f>IF(Investment_Input!J5&lt;0.3,9,IF(Investment_Input!J5&lt;0.5,6,3))</f>
        <v>6</v>
      </c>
      <c r="D10" s="61">
        <v>10</v>
      </c>
      <c r="E10" s="55" t="str">
        <f t="shared" si="0"/>
        <v>🟡 Fair</v>
      </c>
      <c r="F10" s="63" t="s">
        <v>522</v>
      </c>
    </row>
    <row r="11" spans="1:12" ht="18" x14ac:dyDescent="0.3">
      <c r="A11" s="61">
        <v>6</v>
      </c>
      <c r="B11" s="11" t="s">
        <v>523</v>
      </c>
      <c r="C11" s="154">
        <f>IF(COUNTIF(Investment_Input!AA9:AA28,"No")&gt;2,8,IF(COUNTIF(Investment_Input!AA9:AA28,"No")&gt;0,5,3))</f>
        <v>8</v>
      </c>
      <c r="D11" s="61">
        <v>10</v>
      </c>
      <c r="E11" s="55" t="str">
        <f t="shared" si="0"/>
        <v>🟢 Strong</v>
      </c>
      <c r="F11" s="63" t="s">
        <v>524</v>
      </c>
    </row>
    <row r="12" spans="1:12" ht="18" x14ac:dyDescent="0.3">
      <c r="A12" s="61">
        <v>7</v>
      </c>
      <c r="B12" s="11" t="s">
        <v>525</v>
      </c>
      <c r="C12" s="62">
        <f>MIN(Helper_Calcs!B93*10,10)</f>
        <v>10</v>
      </c>
      <c r="D12" s="61">
        <v>10</v>
      </c>
      <c r="E12" s="55" t="str">
        <f t="shared" si="0"/>
        <v>🟢 Strong</v>
      </c>
      <c r="F12" s="63" t="s">
        <v>526</v>
      </c>
    </row>
    <row r="13" spans="1:12" ht="18" x14ac:dyDescent="0.3">
      <c r="A13" s="61">
        <v>8</v>
      </c>
      <c r="B13" s="11" t="s">
        <v>527</v>
      </c>
      <c r="C13" s="62">
        <f>AVERAGE(Goals_Tracker!J5:J9)*10</f>
        <v>1.8450961361518223</v>
      </c>
      <c r="D13" s="61">
        <v>10</v>
      </c>
      <c r="E13" s="55" t="str">
        <f t="shared" si="0"/>
        <v>🔴 Weak</v>
      </c>
      <c r="F13" s="63" t="s">
        <v>528</v>
      </c>
    </row>
    <row r="14" spans="1:12" ht="18" x14ac:dyDescent="0.3">
      <c r="A14" s="61">
        <v>9</v>
      </c>
      <c r="B14" s="11" t="s">
        <v>529</v>
      </c>
      <c r="C14" s="62">
        <f>IF(ABS(Helper_Calcs!B39-6)&lt;2,8,IF(ABS(Helper_Calcs!B39-6)&lt;4,5,3))</f>
        <v>8</v>
      </c>
      <c r="D14" s="61">
        <v>10</v>
      </c>
      <c r="E14" s="55" t="str">
        <f t="shared" si="0"/>
        <v>🟢 Strong</v>
      </c>
      <c r="F14" s="63" t="s">
        <v>530</v>
      </c>
    </row>
    <row r="15" spans="1:12" ht="18" x14ac:dyDescent="0.3">
      <c r="A15" s="61">
        <v>10</v>
      </c>
      <c r="B15" s="11" t="s">
        <v>531</v>
      </c>
      <c r="C15" s="62">
        <f>IF(Helper_Calcs!B38&gt;1,9,IF(Helper_Calcs!B38&gt;0.5,6,3))</f>
        <v>6</v>
      </c>
      <c r="D15" s="61">
        <v>10</v>
      </c>
      <c r="E15" s="55" t="str">
        <f t="shared" si="0"/>
        <v>🟡 Fair</v>
      </c>
      <c r="F15" s="63" t="s">
        <v>532</v>
      </c>
    </row>
    <row r="17" spans="1:12" ht="17.399999999999999" x14ac:dyDescent="0.35">
      <c r="A17" s="105">
        <f>(C6*0.1+C7*0.15+C8*0.1+C9*0.15+C10*0.08+C11*0.07+C12*0.15+C13*0.1+C14*0.05+C15*0.05)*10</f>
        <v>61.245096136151822</v>
      </c>
      <c r="B17" s="77"/>
      <c r="C17" s="77"/>
      <c r="D17" s="104" t="s">
        <v>533</v>
      </c>
      <c r="E17" s="77"/>
      <c r="F17" s="77"/>
      <c r="G17" s="77"/>
      <c r="H17" s="77"/>
      <c r="I17" s="77"/>
      <c r="J17" s="77"/>
      <c r="K17" s="77"/>
      <c r="L17" s="77"/>
    </row>
    <row r="18" spans="1:12" ht="18" x14ac:dyDescent="0.35">
      <c r="A18" s="77"/>
      <c r="B18" s="77"/>
      <c r="C18" s="77"/>
      <c r="D18" s="103" t="str">
        <f>IF(A17&gt;=80,"🟢 EXCELLENT — Strong advisory position",IF(A17&gt;=60,"🟡 GOOD — Improve a few key gaps",IF(A17&gt;=40,"🟠 FAIR — Priority actions required","🔴 NEEDS ATTENTION — Close protection/liquidity gaps first")))</f>
        <v>🟡 GOOD — Improve a few key gaps</v>
      </c>
      <c r="E18" s="77"/>
      <c r="F18" s="77"/>
      <c r="G18" s="77"/>
      <c r="H18" s="77"/>
      <c r="I18" s="77"/>
      <c r="J18" s="77"/>
      <c r="K18" s="77"/>
      <c r="L18" s="77"/>
    </row>
    <row r="19" spans="1:12" x14ac:dyDescent="0.3">
      <c r="A19" s="77"/>
      <c r="B19" s="77"/>
      <c r="C19" s="77"/>
    </row>
    <row r="21" spans="1:12" ht="28.05" customHeight="1" x14ac:dyDescent="0.3">
      <c r="A21" s="80" t="s">
        <v>534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</row>
    <row r="22" spans="1:12" x14ac:dyDescent="0.3">
      <c r="A22" s="1" t="s">
        <v>509</v>
      </c>
      <c r="B22" s="1" t="s">
        <v>463</v>
      </c>
      <c r="C22" s="1" t="s">
        <v>290</v>
      </c>
      <c r="D22" s="1" t="s">
        <v>535</v>
      </c>
      <c r="E22" s="1" t="s">
        <v>385</v>
      </c>
    </row>
    <row r="23" spans="1:12" x14ac:dyDescent="0.3">
      <c r="A23" s="61">
        <v>1</v>
      </c>
      <c r="B23" s="64" t="s">
        <v>536</v>
      </c>
      <c r="C23" s="2" t="s">
        <v>537</v>
      </c>
      <c r="D23" s="2" t="s">
        <v>538</v>
      </c>
      <c r="E23" s="27" t="s">
        <v>539</v>
      </c>
    </row>
    <row r="24" spans="1:12" x14ac:dyDescent="0.3">
      <c r="A24" s="61">
        <v>2</v>
      </c>
      <c r="B24" s="64" t="s">
        <v>540</v>
      </c>
      <c r="C24" s="2" t="s">
        <v>537</v>
      </c>
      <c r="D24" s="2" t="s">
        <v>541</v>
      </c>
      <c r="E24" s="27" t="s">
        <v>539</v>
      </c>
    </row>
    <row r="25" spans="1:12" x14ac:dyDescent="0.3">
      <c r="A25" s="61">
        <v>3</v>
      </c>
      <c r="B25" s="64" t="s">
        <v>542</v>
      </c>
      <c r="C25" s="2" t="s">
        <v>543</v>
      </c>
      <c r="D25" s="2" t="s">
        <v>544</v>
      </c>
      <c r="E25" s="27" t="s">
        <v>539</v>
      </c>
    </row>
    <row r="26" spans="1:12" x14ac:dyDescent="0.3">
      <c r="A26" s="61">
        <v>4</v>
      </c>
      <c r="B26" s="64" t="s">
        <v>545</v>
      </c>
      <c r="C26" s="2" t="s">
        <v>543</v>
      </c>
      <c r="D26" s="2" t="s">
        <v>436</v>
      </c>
      <c r="E26" s="27" t="s">
        <v>539</v>
      </c>
    </row>
    <row r="27" spans="1:12" x14ac:dyDescent="0.3">
      <c r="A27" s="61">
        <v>5</v>
      </c>
      <c r="B27" s="64" t="s">
        <v>546</v>
      </c>
      <c r="C27" s="2" t="s">
        <v>547</v>
      </c>
      <c r="D27" s="2" t="s">
        <v>548</v>
      </c>
      <c r="E27" s="27" t="s">
        <v>539</v>
      </c>
    </row>
    <row r="28" spans="1:12" x14ac:dyDescent="0.3">
      <c r="A28" s="61">
        <v>6</v>
      </c>
      <c r="B28" s="64" t="s">
        <v>549</v>
      </c>
      <c r="C28" s="2" t="s">
        <v>547</v>
      </c>
      <c r="D28" s="2" t="s">
        <v>541</v>
      </c>
      <c r="E28" s="27" t="s">
        <v>539</v>
      </c>
    </row>
    <row r="29" spans="1:12" x14ac:dyDescent="0.3">
      <c r="A29" s="61">
        <v>7</v>
      </c>
      <c r="B29" s="64" t="s">
        <v>550</v>
      </c>
      <c r="C29" s="2" t="s">
        <v>543</v>
      </c>
      <c r="D29" s="2" t="s">
        <v>551</v>
      </c>
      <c r="E29" s="27" t="s">
        <v>539</v>
      </c>
    </row>
    <row r="30" spans="1:12" x14ac:dyDescent="0.3">
      <c r="A30" s="61">
        <v>8</v>
      </c>
      <c r="B30" s="64" t="s">
        <v>552</v>
      </c>
      <c r="C30" s="2" t="s">
        <v>543</v>
      </c>
      <c r="D30" s="2" t="s">
        <v>541</v>
      </c>
      <c r="E30" s="27" t="s">
        <v>539</v>
      </c>
    </row>
  </sheetData>
  <mergeCells count="7">
    <mergeCell ref="A21:L21"/>
    <mergeCell ref="A4:L4"/>
    <mergeCell ref="A2:L2"/>
    <mergeCell ref="A1:L1"/>
    <mergeCell ref="D18:L18"/>
    <mergeCell ref="D17:L17"/>
    <mergeCell ref="A17:C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A5199"/>
  </sheetPr>
  <dimension ref="A1:R28"/>
  <sheetViews>
    <sheetView showGridLines="0" workbookViewId="0">
      <selection sqref="A1:R1"/>
    </sheetView>
  </sheetViews>
  <sheetFormatPr defaultRowHeight="14.4" x14ac:dyDescent="0.3"/>
  <cols>
    <col min="1" max="1" width="26" customWidth="1"/>
    <col min="2" max="3" width="16" customWidth="1"/>
    <col min="4" max="4" width="12" customWidth="1"/>
    <col min="5" max="5" width="30" customWidth="1"/>
    <col min="6" max="18" width="13" customWidth="1"/>
  </cols>
  <sheetData>
    <row r="1" spans="1:18" ht="49.95" customHeight="1" x14ac:dyDescent="0.3">
      <c r="A1" s="83" t="s">
        <v>553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ht="25.95" customHeight="1" x14ac:dyDescent="0.3">
      <c r="A2" s="84" t="s">
        <v>554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8" x14ac:dyDescent="0.3">
      <c r="A3" s="22" t="s">
        <v>555</v>
      </c>
      <c r="B3" s="65">
        <f>Assumptions_Config!$D$8</f>
        <v>15</v>
      </c>
      <c r="D3" s="22" t="s">
        <v>556</v>
      </c>
      <c r="E3" s="52" t="str">
        <f>Assumptions_Config!$D$7</f>
        <v>Lakhs</v>
      </c>
      <c r="G3" s="22" t="s">
        <v>557</v>
      </c>
      <c r="H3" s="25">
        <f>Assumptions_Config!$D$5</f>
        <v>0.1</v>
      </c>
      <c r="J3" s="22" t="s">
        <v>558</v>
      </c>
      <c r="K3" s="25">
        <f>Assumptions_Config!$D$6</f>
        <v>0.25</v>
      </c>
      <c r="M3" s="22" t="s">
        <v>559</v>
      </c>
      <c r="N3" s="52" t="str">
        <f>Helper_Calcs!B40</f>
        <v>Moderate</v>
      </c>
    </row>
    <row r="5" spans="1:18" x14ac:dyDescent="0.3">
      <c r="A5" s="112" t="s">
        <v>560</v>
      </c>
      <c r="B5" s="108"/>
      <c r="C5" s="109"/>
      <c r="D5" s="122" t="s">
        <v>561</v>
      </c>
      <c r="E5" s="108"/>
      <c r="F5" s="109"/>
      <c r="G5" s="113" t="s">
        <v>562</v>
      </c>
      <c r="H5" s="108"/>
      <c r="I5" s="109"/>
      <c r="J5" s="128" t="s">
        <v>563</v>
      </c>
      <c r="K5" s="108"/>
      <c r="L5" s="109"/>
      <c r="M5" s="131" t="s">
        <v>564</v>
      </c>
      <c r="N5" s="108"/>
      <c r="O5" s="109"/>
      <c r="P5" s="123" t="s">
        <v>565</v>
      </c>
      <c r="Q5" s="108"/>
      <c r="R5" s="109"/>
    </row>
    <row r="6" spans="1:18" x14ac:dyDescent="0.3">
      <c r="A6" s="119" t="e">
        <f ca="1">Helper_Calcs!B30/Helper_Calcs!B41</f>
        <v>#NAME?</v>
      </c>
      <c r="B6" s="96"/>
      <c r="C6" s="97"/>
      <c r="D6" s="111" t="e">
        <f ca="1">Helper_Calcs!B23/Helper_Calcs!B41</f>
        <v>#NAME?</v>
      </c>
      <c r="E6" s="96"/>
      <c r="F6" s="97"/>
      <c r="G6" s="129">
        <f>AVERAGE(Goals_Tracker!J5:J9)</f>
        <v>0.18450961361518223</v>
      </c>
      <c r="H6" s="96"/>
      <c r="I6" s="97"/>
      <c r="J6" s="121">
        <f>Helper_Calcs!B93</f>
        <v>1.2031175759307136</v>
      </c>
      <c r="K6" s="96"/>
      <c r="L6" s="97"/>
      <c r="M6" s="127">
        <f>Helper_Calcs!B38</f>
        <v>1</v>
      </c>
      <c r="N6" s="96"/>
      <c r="O6" s="97"/>
      <c r="P6" s="118">
        <f>IF(Helper_Calcs!B32&lt;0,ABS(Helper_Calcs!B32)/Helper_Calcs!B41,0)</f>
        <v>0</v>
      </c>
      <c r="Q6" s="96"/>
      <c r="R6" s="97"/>
    </row>
    <row r="7" spans="1:18" x14ac:dyDescent="0.3">
      <c r="A7" s="100"/>
      <c r="B7" s="101"/>
      <c r="C7" s="102"/>
      <c r="D7" s="100"/>
      <c r="E7" s="101"/>
      <c r="F7" s="102"/>
      <c r="G7" s="100"/>
      <c r="H7" s="101"/>
      <c r="I7" s="102"/>
      <c r="J7" s="100"/>
      <c r="K7" s="101"/>
      <c r="L7" s="102"/>
      <c r="M7" s="100"/>
      <c r="N7" s="101"/>
      <c r="O7" s="102"/>
      <c r="P7" s="100"/>
      <c r="Q7" s="101"/>
      <c r="R7" s="102"/>
    </row>
    <row r="8" spans="1:18" x14ac:dyDescent="0.3">
      <c r="A8" s="66"/>
      <c r="B8" s="66"/>
      <c r="C8" s="66"/>
      <c r="D8" s="67"/>
      <c r="E8" s="67"/>
      <c r="F8" s="67"/>
      <c r="G8" s="68"/>
      <c r="H8" s="68"/>
      <c r="I8" s="68"/>
      <c r="J8" s="69"/>
      <c r="K8" s="69"/>
      <c r="L8" s="69"/>
      <c r="M8" s="70"/>
      <c r="N8" s="70"/>
      <c r="O8" s="70"/>
      <c r="P8" s="71"/>
      <c r="Q8" s="71"/>
      <c r="R8" s="71"/>
    </row>
    <row r="9" spans="1:18" x14ac:dyDescent="0.3">
      <c r="A9" s="124" t="str">
        <f>"In "&amp;Helper_Calcs!B42</f>
        <v>In Lakhs</v>
      </c>
      <c r="B9" s="108"/>
      <c r="C9" s="109"/>
      <c r="D9" s="115" t="str">
        <f>"Base case • "&amp;Helper_Calcs!B42</f>
        <v>Base case • Lakhs</v>
      </c>
      <c r="E9" s="108"/>
      <c r="F9" s="109"/>
      <c r="G9" s="125" t="s">
        <v>566</v>
      </c>
      <c r="H9" s="108"/>
      <c r="I9" s="109"/>
      <c r="J9" s="134" t="s">
        <v>567</v>
      </c>
      <c r="K9" s="108"/>
      <c r="L9" s="109"/>
      <c r="M9" s="130" t="s">
        <v>568</v>
      </c>
      <c r="N9" s="108"/>
      <c r="O9" s="109"/>
      <c r="P9" s="132" t="s">
        <v>569</v>
      </c>
      <c r="Q9" s="108"/>
      <c r="R9" s="109"/>
    </row>
    <row r="11" spans="1:18" x14ac:dyDescent="0.3">
      <c r="A11" s="106" t="s">
        <v>570</v>
      </c>
      <c r="B11" s="77"/>
      <c r="C11" s="77"/>
      <c r="D11" s="106" t="s">
        <v>571</v>
      </c>
      <c r="E11" s="77"/>
      <c r="F11" s="77"/>
      <c r="G11" s="106" t="s">
        <v>572</v>
      </c>
      <c r="H11" s="77"/>
      <c r="I11" s="77"/>
      <c r="J11" s="106" t="s">
        <v>573</v>
      </c>
      <c r="K11" s="77"/>
      <c r="L11" s="77"/>
      <c r="M11" s="106" t="s">
        <v>223</v>
      </c>
      <c r="N11" s="77"/>
      <c r="O11" s="77"/>
      <c r="P11" s="106" t="s">
        <v>574</v>
      </c>
      <c r="Q11" s="77"/>
      <c r="R11" s="77"/>
    </row>
    <row r="12" spans="1:18" x14ac:dyDescent="0.3">
      <c r="A12" s="107" t="e">
        <f ca="1">Helper_Calcs!B35/Helper_Calcs!B41</f>
        <v>#NAME?</v>
      </c>
      <c r="B12" s="108"/>
      <c r="C12" s="109"/>
      <c r="D12" s="114">
        <f>Debt_Tracker!C15</f>
        <v>2.3527777777777779</v>
      </c>
      <c r="E12" s="108"/>
      <c r="F12" s="109"/>
      <c r="G12" s="126" t="e">
        <f ca="1">MAX(Insurance_Summary!B15,0)/Helper_Calcs!B41</f>
        <v>#NAME?</v>
      </c>
      <c r="H12" s="108"/>
      <c r="I12" s="109"/>
      <c r="J12" s="116">
        <f>Investment_Input!J5</f>
        <v>0.48602673147023084</v>
      </c>
      <c r="K12" s="108"/>
      <c r="L12" s="109"/>
      <c r="M12" s="110">
        <f>Helper_Calcs!B39</f>
        <v>5.286755771567436</v>
      </c>
      <c r="N12" s="108"/>
      <c r="O12" s="109"/>
      <c r="P12" s="117">
        <f>Financial_Scorecard!A17</f>
        <v>61.245096136151822</v>
      </c>
      <c r="Q12" s="108"/>
      <c r="R12" s="109"/>
    </row>
    <row r="14" spans="1:18" ht="28.05" customHeight="1" x14ac:dyDescent="0.3">
      <c r="A14" s="80" t="s">
        <v>575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3">
      <c r="A15" s="1" t="s">
        <v>152</v>
      </c>
      <c r="B15" s="1" t="s">
        <v>576</v>
      </c>
      <c r="C15" s="1" t="s">
        <v>577</v>
      </c>
      <c r="D15" s="1" t="s">
        <v>462</v>
      </c>
      <c r="E15" s="1" t="s">
        <v>463</v>
      </c>
      <c r="H15" s="133" t="s">
        <v>578</v>
      </c>
      <c r="I15" s="108"/>
      <c r="J15" s="108"/>
      <c r="K15" s="108"/>
      <c r="L15" s="108"/>
      <c r="M15" s="108"/>
      <c r="N15" s="108"/>
      <c r="O15" s="108"/>
      <c r="P15" s="108"/>
      <c r="Q15" s="108"/>
      <c r="R15" s="109"/>
    </row>
    <row r="16" spans="1:18" x14ac:dyDescent="0.3">
      <c r="A16" s="11" t="s">
        <v>158</v>
      </c>
      <c r="B16" s="14">
        <f>Helper_Calcs!D45</f>
        <v>0.2077764277035237</v>
      </c>
      <c r="C16" s="14">
        <f>Helper_Calcs!E45</f>
        <v>0.7</v>
      </c>
      <c r="D16" s="60">
        <f>Helper_Calcs!F45</f>
        <v>-0.49222357229647629</v>
      </c>
      <c r="E16" s="72" t="str">
        <f>Helper_Calcs!G45</f>
        <v>↑ Increase by ₹2,025,500</v>
      </c>
      <c r="H16" s="120" t="str">
        <f>IF(Helper_Calcs!B32&lt;0,"1) Close funding gap of "&amp;TEXT(ABS(Helper_Calcs!B32)/Helper_Calcs!B41,"#,##0.0")&amp;" "&amp;Helper_Calcs!B42&amp;" after future expenses","1) No funding gap after future expenses")</f>
        <v>1) No funding gap after future expenses</v>
      </c>
      <c r="I16" s="108"/>
      <c r="J16" s="108"/>
      <c r="K16" s="108"/>
      <c r="L16" s="108"/>
      <c r="M16" s="108"/>
      <c r="N16" s="108"/>
      <c r="O16" s="108"/>
      <c r="P16" s="108"/>
      <c r="Q16" s="108"/>
      <c r="R16" s="109"/>
    </row>
    <row r="17" spans="1:18" x14ac:dyDescent="0.3">
      <c r="A17" s="11" t="s">
        <v>164</v>
      </c>
      <c r="B17" s="14">
        <f>Helper_Calcs!D46</f>
        <v>0.20899149453219928</v>
      </c>
      <c r="C17" s="14">
        <f>Helper_Calcs!E46</f>
        <v>0.1</v>
      </c>
      <c r="D17" s="60">
        <f>Helper_Calcs!F46</f>
        <v>0.10899149453219928</v>
      </c>
      <c r="E17" s="72" t="str">
        <f>Helper_Calcs!G46</f>
        <v>↓ Reduce by ₹448,500</v>
      </c>
      <c r="H17" s="120" t="e">
        <f ca="1">IF(Insurance_Summary!B15&gt;0,"2) Increase life cover by "&amp;TEXT(Insurance_Summary!B15/Helper_Calcs!B41,"#,##0.0")&amp;" "&amp;Helper_Calcs!B42,"2) Life cover is adequate")</f>
        <v>#NAME?</v>
      </c>
      <c r="I17" s="108"/>
      <c r="J17" s="108"/>
      <c r="K17" s="108"/>
      <c r="L17" s="108"/>
      <c r="M17" s="108"/>
      <c r="N17" s="108"/>
      <c r="O17" s="108"/>
      <c r="P17" s="108"/>
      <c r="Q17" s="108"/>
      <c r="R17" s="109"/>
    </row>
    <row r="18" spans="1:18" x14ac:dyDescent="0.3">
      <c r="A18" s="11" t="s">
        <v>178</v>
      </c>
      <c r="B18" s="14">
        <f>Helper_Calcs!D47</f>
        <v>0.58323207776427699</v>
      </c>
      <c r="C18" s="14">
        <f>Helper_Calcs!E47</f>
        <v>0.2</v>
      </c>
      <c r="D18" s="60">
        <f>Helper_Calcs!F47</f>
        <v>0.38323207776427698</v>
      </c>
      <c r="E18" s="72" t="str">
        <f>Helper_Calcs!G47</f>
        <v>↓ Reduce by ₹1,577,000</v>
      </c>
      <c r="H18" s="120" t="str">
        <f>IF(ABS(Helper_Calcs!F45)&gt;=ABS(Helper_Calcs!F46),IF(ABS(Helper_Calcs!F45)&gt;=ABS(Helper_Calcs!F47),"3) Rebalance: "&amp;Helper_Calcs!G45,"3) Rebalance: "&amp;Helper_Calcs!G47),IF(ABS(Helper_Calcs!F46)&gt;=ABS(Helper_Calcs!F47),"3) Rebalance: "&amp;Helper_Calcs!G46,"3) Rebalance: "&amp;Helper_Calcs!G47))</f>
        <v>3) Rebalance: ↑ Increase by ₹2,025,500</v>
      </c>
      <c r="I18" s="108"/>
      <c r="J18" s="108"/>
      <c r="K18" s="108"/>
      <c r="L18" s="108"/>
      <c r="M18" s="108"/>
      <c r="N18" s="108"/>
      <c r="O18" s="108"/>
      <c r="P18" s="108"/>
      <c r="Q18" s="108"/>
      <c r="R18" s="109"/>
    </row>
    <row r="20" spans="1:18" ht="28.05" customHeight="1" x14ac:dyDescent="0.3">
      <c r="A20" s="80" t="str">
        <f>"SCENARIO COMPARISON ("&amp;Helper_Calcs!B42&amp;")"</f>
        <v>SCENARIO COMPARISON (Lakhs)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</row>
    <row r="21" spans="1:18" x14ac:dyDescent="0.3">
      <c r="A21" s="1" t="s">
        <v>132</v>
      </c>
      <c r="B21" s="1" t="s">
        <v>437</v>
      </c>
      <c r="C21" s="1" t="s">
        <v>467</v>
      </c>
      <c r="D21" s="1" t="s">
        <v>468</v>
      </c>
    </row>
    <row r="22" spans="1:18" x14ac:dyDescent="0.3">
      <c r="A22" s="11" t="s">
        <v>139</v>
      </c>
      <c r="B22" s="75" t="e">
        <f ca="1">Helper_Calcs!D52/Helper_Calcs!B41</f>
        <v>#NAME?</v>
      </c>
      <c r="C22" s="75" t="e">
        <f ca="1">Helper_Calcs!E52/Helper_Calcs!B41</f>
        <v>#NAME?</v>
      </c>
      <c r="D22" s="14">
        <f>Helper_Calcs!H52</f>
        <v>0.76060795063083653</v>
      </c>
    </row>
    <row r="23" spans="1:18" x14ac:dyDescent="0.3">
      <c r="A23" s="16" t="s">
        <v>141</v>
      </c>
      <c r="B23" s="75" t="e">
        <f ca="1">Helper_Calcs!D53/Helper_Calcs!B41</f>
        <v>#NAME?</v>
      </c>
      <c r="C23" s="75" t="e">
        <f ca="1">Helper_Calcs!E53/Helper_Calcs!B41</f>
        <v>#NAME?</v>
      </c>
      <c r="D23" s="14">
        <f>Helper_Calcs!H53</f>
        <v>0.76060795063083664</v>
      </c>
    </row>
    <row r="24" spans="1:18" x14ac:dyDescent="0.3">
      <c r="A24" s="11" t="s">
        <v>143</v>
      </c>
      <c r="B24" s="75" t="e">
        <f ca="1">Helper_Calcs!D54/Helper_Calcs!B41</f>
        <v>#NAME?</v>
      </c>
      <c r="C24" s="75" t="e">
        <f ca="1">Helper_Calcs!E54/Helper_Calcs!B41</f>
        <v>#NAME?</v>
      </c>
      <c r="D24" s="14">
        <f>Helper_Calcs!H54</f>
        <v>0.76060795063083653</v>
      </c>
    </row>
    <row r="25" spans="1:18" x14ac:dyDescent="0.3">
      <c r="A25" s="16" t="s">
        <v>145</v>
      </c>
      <c r="B25" s="75" t="e">
        <f ca="1">Helper_Calcs!D55/Helper_Calcs!B41</f>
        <v>#NAME?</v>
      </c>
      <c r="C25" s="75" t="e">
        <f ca="1">Helper_Calcs!E55/Helper_Calcs!B41</f>
        <v>#NAME?</v>
      </c>
      <c r="D25" s="14">
        <f>Helper_Calcs!H55</f>
        <v>0.76060795063083653</v>
      </c>
    </row>
    <row r="26" spans="1:18" x14ac:dyDescent="0.3">
      <c r="A26" s="11" t="s">
        <v>147</v>
      </c>
      <c r="B26" s="75" t="e">
        <f ca="1">Helper_Calcs!D56/Helper_Calcs!B41</f>
        <v>#NAME?</v>
      </c>
      <c r="C26" s="75" t="e">
        <f ca="1">Helper_Calcs!E56/Helper_Calcs!B41</f>
        <v>#NAME?</v>
      </c>
      <c r="D26" s="14">
        <f>Helper_Calcs!H56</f>
        <v>0.76060795063083664</v>
      </c>
    </row>
    <row r="28" spans="1:18" ht="28.05" customHeight="1" x14ac:dyDescent="0.3">
      <c r="A28" s="80" t="s">
        <v>579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</row>
  </sheetData>
  <mergeCells count="39">
    <mergeCell ref="A1:R1"/>
    <mergeCell ref="J9:L9"/>
    <mergeCell ref="H18:R18"/>
    <mergeCell ref="A28:R28"/>
    <mergeCell ref="A9:C9"/>
    <mergeCell ref="G9:I9"/>
    <mergeCell ref="G12:I12"/>
    <mergeCell ref="M6:O7"/>
    <mergeCell ref="G11:I11"/>
    <mergeCell ref="G6:I7"/>
    <mergeCell ref="A11:C11"/>
    <mergeCell ref="M9:O9"/>
    <mergeCell ref="P9:R9"/>
    <mergeCell ref="H15:R15"/>
    <mergeCell ref="A20:R20"/>
    <mergeCell ref="A6:C7"/>
    <mergeCell ref="H17:R17"/>
    <mergeCell ref="J6:L7"/>
    <mergeCell ref="D5:F5"/>
    <mergeCell ref="P5:R5"/>
    <mergeCell ref="H16:R16"/>
    <mergeCell ref="J5:L5"/>
    <mergeCell ref="M5:O5"/>
    <mergeCell ref="A14:R14"/>
    <mergeCell ref="D9:F9"/>
    <mergeCell ref="J12:L12"/>
    <mergeCell ref="P12:R12"/>
    <mergeCell ref="P6:R7"/>
    <mergeCell ref="D6:F7"/>
    <mergeCell ref="A5:C5"/>
    <mergeCell ref="G5:I5"/>
    <mergeCell ref="A2:R2"/>
    <mergeCell ref="D12:F12"/>
    <mergeCell ref="M11:O11"/>
    <mergeCell ref="D11:F11"/>
    <mergeCell ref="P11:R11"/>
    <mergeCell ref="A12:C12"/>
    <mergeCell ref="M12:O12"/>
    <mergeCell ref="J11:L1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B2A4A"/>
  </sheetPr>
  <dimension ref="A1:R55"/>
  <sheetViews>
    <sheetView showGridLines="0" tabSelected="1" workbookViewId="0">
      <selection sqref="A1:R1"/>
    </sheetView>
  </sheetViews>
  <sheetFormatPr defaultRowHeight="14.4" x14ac:dyDescent="0.3"/>
  <cols>
    <col min="1" max="1" width="26" customWidth="1"/>
    <col min="2" max="3" width="16" customWidth="1"/>
    <col min="4" max="18" width="13" customWidth="1"/>
  </cols>
  <sheetData>
    <row r="1" spans="1:18" ht="25.8" x14ac:dyDescent="0.3">
      <c r="A1" s="147" t="s">
        <v>580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ht="40.049999999999997" customHeight="1" x14ac:dyDescent="0.3">
      <c r="A2" s="94" t="s">
        <v>581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8" x14ac:dyDescent="0.3">
      <c r="A3" s="135" t="s">
        <v>582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1:18" x14ac:dyDescent="0.3">
      <c r="A4" s="140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x14ac:dyDescent="0.3">
      <c r="A5" s="137" t="s">
        <v>583</v>
      </c>
      <c r="B5" s="77"/>
      <c r="C5" s="77"/>
      <c r="D5" s="144" t="str">
        <f>Assumptions_Config!$D$18</f>
        <v>[Enter Client Name]</v>
      </c>
      <c r="E5" s="145"/>
      <c r="F5" s="145"/>
      <c r="G5" s="145"/>
      <c r="H5" s="146"/>
    </row>
    <row r="7" spans="1:18" x14ac:dyDescent="0.3">
      <c r="A7" s="112" t="s">
        <v>560</v>
      </c>
      <c r="B7" s="108"/>
      <c r="C7" s="108"/>
      <c r="D7" s="108"/>
      <c r="E7" s="108"/>
      <c r="F7" s="109"/>
      <c r="G7" s="113" t="s">
        <v>561</v>
      </c>
      <c r="H7" s="108"/>
      <c r="I7" s="108"/>
      <c r="J7" s="108"/>
      <c r="K7" s="108"/>
      <c r="L7" s="109"/>
      <c r="M7" s="128" t="s">
        <v>563</v>
      </c>
      <c r="N7" s="108"/>
      <c r="O7" s="108"/>
      <c r="P7" s="108"/>
      <c r="Q7" s="108"/>
      <c r="R7" s="109"/>
    </row>
    <row r="8" spans="1:18" x14ac:dyDescent="0.3">
      <c r="A8" s="119" t="e">
        <f ca="1">Helper_Calcs!B30/Helper_Calcs!B41</f>
        <v>#NAME?</v>
      </c>
      <c r="B8" s="96"/>
      <c r="C8" s="96"/>
      <c r="D8" s="96"/>
      <c r="E8" s="96"/>
      <c r="F8" s="97"/>
      <c r="G8" s="139" t="e">
        <f ca="1">Helper_Calcs!B23/Helper_Calcs!B41</f>
        <v>#NAME?</v>
      </c>
      <c r="H8" s="96"/>
      <c r="I8" s="96"/>
      <c r="J8" s="96"/>
      <c r="K8" s="96"/>
      <c r="L8" s="97"/>
      <c r="M8" s="121">
        <f>Helper_Calcs!B93</f>
        <v>1.2031175759307136</v>
      </c>
      <c r="N8" s="96"/>
      <c r="O8" s="96"/>
      <c r="P8" s="96"/>
      <c r="Q8" s="96"/>
      <c r="R8" s="97"/>
    </row>
    <row r="9" spans="1:18" x14ac:dyDescent="0.3">
      <c r="A9" s="100"/>
      <c r="B9" s="101"/>
      <c r="C9" s="101"/>
      <c r="D9" s="101"/>
      <c r="E9" s="101"/>
      <c r="F9" s="102"/>
      <c r="G9" s="100"/>
      <c r="H9" s="101"/>
      <c r="I9" s="101"/>
      <c r="J9" s="101"/>
      <c r="K9" s="101"/>
      <c r="L9" s="102"/>
      <c r="M9" s="100"/>
      <c r="N9" s="101"/>
      <c r="O9" s="101"/>
      <c r="P9" s="101"/>
      <c r="Q9" s="101"/>
      <c r="R9" s="102"/>
    </row>
    <row r="10" spans="1:18" x14ac:dyDescent="0.3">
      <c r="A10" s="66"/>
      <c r="B10" s="66"/>
      <c r="C10" s="66"/>
      <c r="D10" s="66"/>
      <c r="E10" s="66"/>
      <c r="F10" s="66"/>
      <c r="G10" s="68"/>
      <c r="H10" s="68"/>
      <c r="I10" s="68"/>
      <c r="J10" s="68"/>
      <c r="K10" s="68"/>
      <c r="L10" s="68"/>
      <c r="M10" s="69"/>
      <c r="N10" s="69"/>
      <c r="O10" s="69"/>
      <c r="P10" s="69"/>
      <c r="Q10" s="69"/>
      <c r="R10" s="69"/>
    </row>
    <row r="11" spans="1:18" x14ac:dyDescent="0.3">
      <c r="A11" s="124" t="str">
        <f>"In "&amp;Helper_Calcs!B42</f>
        <v>In Lakhs</v>
      </c>
      <c r="B11" s="108"/>
      <c r="C11" s="108"/>
      <c r="D11" s="108"/>
      <c r="E11" s="108"/>
      <c r="F11" s="109"/>
      <c r="G11" s="125" t="str">
        <f>"Base case • "&amp;Helper_Calcs!B42</f>
        <v>Base case • Lakhs</v>
      </c>
      <c r="H11" s="108"/>
      <c r="I11" s="108"/>
      <c r="J11" s="108"/>
      <c r="K11" s="108"/>
      <c r="L11" s="109"/>
      <c r="M11" s="134" t="s">
        <v>567</v>
      </c>
      <c r="N11" s="108"/>
      <c r="O11" s="108"/>
      <c r="P11" s="108"/>
      <c r="Q11" s="108"/>
      <c r="R11" s="109"/>
    </row>
    <row r="13" spans="1:18" x14ac:dyDescent="0.3">
      <c r="A13" s="106" t="s">
        <v>584</v>
      </c>
      <c r="B13" s="77"/>
      <c r="C13" s="77"/>
      <c r="D13" s="106" t="s">
        <v>455</v>
      </c>
      <c r="E13" s="77"/>
      <c r="F13" s="77"/>
      <c r="G13" s="106" t="s">
        <v>572</v>
      </c>
      <c r="H13" s="77"/>
      <c r="I13" s="77"/>
      <c r="J13" s="106" t="s">
        <v>571</v>
      </c>
      <c r="K13" s="77"/>
      <c r="L13" s="77"/>
      <c r="M13" s="106" t="s">
        <v>574</v>
      </c>
      <c r="N13" s="77"/>
      <c r="O13" s="77"/>
      <c r="P13" s="106" t="s">
        <v>570</v>
      </c>
      <c r="Q13" s="77"/>
      <c r="R13" s="77"/>
    </row>
    <row r="14" spans="1:18" x14ac:dyDescent="0.3">
      <c r="A14" s="138">
        <f>AVERAGE(Goals_Tracker!J5:J9)</f>
        <v>0.18450961361518223</v>
      </c>
      <c r="B14" s="108"/>
      <c r="C14" s="109"/>
      <c r="D14" s="141">
        <f>Helper_Calcs!B38</f>
        <v>1</v>
      </c>
      <c r="E14" s="108"/>
      <c r="F14" s="109"/>
      <c r="G14" s="136" t="e">
        <f ca="1">MAX(Insurance_Summary!B15,0)/Helper_Calcs!B41</f>
        <v>#NAME?</v>
      </c>
      <c r="H14" s="108"/>
      <c r="I14" s="109"/>
      <c r="J14" s="141">
        <f>Debt_Tracker!C15</f>
        <v>2.3527777777777779</v>
      </c>
      <c r="K14" s="108"/>
      <c r="L14" s="109"/>
      <c r="M14" s="117">
        <f>Financial_Scorecard!A17</f>
        <v>61.245096136151822</v>
      </c>
      <c r="N14" s="108"/>
      <c r="O14" s="109"/>
      <c r="P14" s="107" t="e">
        <f ca="1">Helper_Calcs!B35/Helper_Calcs!B41</f>
        <v>#NAME?</v>
      </c>
      <c r="Q14" s="108"/>
      <c r="R14" s="109"/>
    </row>
    <row r="16" spans="1:18" x14ac:dyDescent="0.3">
      <c r="A16" s="143" t="s">
        <v>585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</row>
    <row r="17" spans="1:18" x14ac:dyDescent="0.3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</row>
    <row r="19" spans="1:18" ht="28.05" customHeight="1" x14ac:dyDescent="0.3">
      <c r="A19" s="80" t="s">
        <v>586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</row>
    <row r="37" spans="1:18" ht="28.05" customHeight="1" x14ac:dyDescent="0.3">
      <c r="A37" s="80" t="str">
        <f>"SCENARIO &amp; ALLOCATION ("&amp;Helper_Calcs!B42&amp;")"</f>
        <v>SCENARIO &amp; ALLOCATION (Lakhs)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</row>
    <row r="38" spans="1:18" x14ac:dyDescent="0.3">
      <c r="A38" s="1" t="s">
        <v>132</v>
      </c>
      <c r="B38" s="1" t="s">
        <v>442</v>
      </c>
      <c r="C38" s="1" t="s">
        <v>467</v>
      </c>
    </row>
    <row r="39" spans="1:18" x14ac:dyDescent="0.3">
      <c r="A39" s="11" t="s">
        <v>139</v>
      </c>
      <c r="B39" s="75" t="e">
        <f ca="1">Helper_Calcs!D52/Helper_Calcs!B41</f>
        <v>#NAME?</v>
      </c>
      <c r="C39" s="75" t="e">
        <f ca="1">Helper_Calcs!E52/Helper_Calcs!B41</f>
        <v>#NAME?</v>
      </c>
    </row>
    <row r="40" spans="1:18" x14ac:dyDescent="0.3">
      <c r="A40" s="16" t="s">
        <v>141</v>
      </c>
      <c r="B40" s="75" t="e">
        <f ca="1">Helper_Calcs!D53/Helper_Calcs!B41</f>
        <v>#NAME?</v>
      </c>
      <c r="C40" s="75" t="e">
        <f ca="1">Helper_Calcs!E53/Helper_Calcs!B41</f>
        <v>#NAME?</v>
      </c>
    </row>
    <row r="41" spans="1:18" x14ac:dyDescent="0.3">
      <c r="A41" s="11" t="s">
        <v>143</v>
      </c>
      <c r="B41" s="75" t="e">
        <f ca="1">Helper_Calcs!D54/Helper_Calcs!B41</f>
        <v>#NAME?</v>
      </c>
      <c r="C41" s="75" t="e">
        <f ca="1">Helper_Calcs!E54/Helper_Calcs!B41</f>
        <v>#NAME?</v>
      </c>
    </row>
    <row r="42" spans="1:18" x14ac:dyDescent="0.3">
      <c r="A42" s="16" t="s">
        <v>145</v>
      </c>
      <c r="B42" s="75" t="e">
        <f ca="1">Helper_Calcs!D55/Helper_Calcs!B41</f>
        <v>#NAME?</v>
      </c>
      <c r="C42" s="75" t="e">
        <f ca="1">Helper_Calcs!E55/Helper_Calcs!B41</f>
        <v>#NAME?</v>
      </c>
    </row>
    <row r="43" spans="1:18" x14ac:dyDescent="0.3">
      <c r="A43" s="11" t="s">
        <v>147</v>
      </c>
      <c r="B43" s="75" t="e">
        <f ca="1">Helper_Calcs!D56/Helper_Calcs!B41</f>
        <v>#NAME?</v>
      </c>
      <c r="C43" s="75" t="e">
        <f ca="1">Helper_Calcs!E56/Helper_Calcs!B41</f>
        <v>#NAME?</v>
      </c>
    </row>
    <row r="53" spans="1:18" x14ac:dyDescent="0.3">
      <c r="A53" s="140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</row>
    <row r="54" spans="1:18" x14ac:dyDescent="0.3">
      <c r="A54" s="142" t="s">
        <v>587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spans="1:18" x14ac:dyDescent="0.3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</sheetData>
  <mergeCells count="32">
    <mergeCell ref="A1:R1"/>
    <mergeCell ref="M8:R9"/>
    <mergeCell ref="M11:R11"/>
    <mergeCell ref="G7:L7"/>
    <mergeCell ref="A53:R53"/>
    <mergeCell ref="A13:C13"/>
    <mergeCell ref="D14:F14"/>
    <mergeCell ref="A54:R55"/>
    <mergeCell ref="A7:F7"/>
    <mergeCell ref="A19:R19"/>
    <mergeCell ref="P14:R14"/>
    <mergeCell ref="A16:R17"/>
    <mergeCell ref="A11:F11"/>
    <mergeCell ref="G11:L11"/>
    <mergeCell ref="J14:L14"/>
    <mergeCell ref="J13:L13"/>
    <mergeCell ref="A8:F9"/>
    <mergeCell ref="A3:R3"/>
    <mergeCell ref="G14:I14"/>
    <mergeCell ref="A5:C5"/>
    <mergeCell ref="A2:R2"/>
    <mergeCell ref="A14:C14"/>
    <mergeCell ref="P13:R13"/>
    <mergeCell ref="G8:L9"/>
    <mergeCell ref="A4:R4"/>
    <mergeCell ref="M14:O14"/>
    <mergeCell ref="D5:H5"/>
    <mergeCell ref="D13:F13"/>
    <mergeCell ref="G13:I13"/>
    <mergeCell ref="M13:O13"/>
    <mergeCell ref="A37:R37"/>
    <mergeCell ref="M7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How_To_Use</vt:lpstr>
      <vt:lpstr>Assumptions_Config</vt:lpstr>
      <vt:lpstr>Investment_Input</vt:lpstr>
      <vt:lpstr>Debt_Tracker</vt:lpstr>
      <vt:lpstr>Income_Expenses</vt:lpstr>
      <vt:lpstr>Major_Expenses</vt:lpstr>
      <vt:lpstr>Goals_Tracker</vt:lpstr>
      <vt:lpstr>Insurance_Summary</vt:lpstr>
      <vt:lpstr>Helper_Calcs</vt:lpstr>
      <vt:lpstr>What_If_Builder</vt:lpstr>
      <vt:lpstr>Financial_Scorecard</vt:lpstr>
      <vt:lpstr>Advisor_Dashboard</vt:lpstr>
      <vt:lpstr>Client_Dashboard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Tiwari</dc:creator>
  <cp:lastModifiedBy>Siddharth Tiwari (US)</cp:lastModifiedBy>
  <dcterms:created xsi:type="dcterms:W3CDTF">2026-03-18T13:15:45Z</dcterms:created>
  <dcterms:modified xsi:type="dcterms:W3CDTF">2026-03-18T13:44:11Z</dcterms:modified>
</cp:coreProperties>
</file>